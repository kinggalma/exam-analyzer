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110" yWindow="0" windowWidth="19380" windowHeight="20970" tabRatio="600" firstSheet="0" activeTab="2" autoFilterDateGrouping="1"/>
  </bookViews>
  <sheets>
    <sheet name="메인표지" sheetId="1" state="visible" r:id="rId1"/>
    <sheet name="집계 및 분석" sheetId="2" state="visible" r:id="rId2"/>
    <sheet name="과년도모음" sheetId="3" state="visible" r:id="rId3"/>
  </sheets>
  <definedNames>
    <definedName name="_xlnm._FilterDatabase" localSheetId="2" hidden="1">'과년도모음'!$A$1:$G$1024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General&quot;회&quot;"/>
    <numFmt numFmtId="165" formatCode="0.0%"/>
    <numFmt numFmtId="166" formatCode="0.0"/>
    <numFmt numFmtId="167" formatCode="General&quot;교시&quot;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KoPubWorld바탕체 Bold"/>
      <charset val="129"/>
      <family val="3"/>
      <b val="1"/>
      <color theme="1"/>
      <sz val="15"/>
    </font>
    <font>
      <name val="맑은 고딕"/>
      <charset val="129"/>
      <family val="3"/>
      <sz val="11"/>
      <scheme val="minor"/>
    </font>
    <font>
      <name val="맑은 고딕"/>
      <charset val="1"/>
      <family val="3"/>
      <color theme="1"/>
      <sz val="11"/>
      <scheme val="minor"/>
    </font>
    <font>
      <name val="G마켓 산스 Bold"/>
      <charset val="129"/>
      <family val="3"/>
      <color theme="1"/>
      <sz val="18"/>
    </font>
    <font>
      <name val="DW임팩타민체"/>
      <charset val="129"/>
      <family val="3"/>
      <b val="1"/>
      <color theme="1"/>
      <sz val="20"/>
    </font>
    <font>
      <name val="맑은 고딕"/>
      <charset val="1"/>
      <family val="2"/>
      <sz val="11"/>
      <scheme val="minor"/>
    </font>
    <font>
      <name val="맑은 고딕"/>
      <charset val="129"/>
      <family val="3"/>
      <color rgb="FFC00000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sz val="11"/>
    </font>
  </fonts>
  <fills count="11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29">
    <border>
      <left/>
      <right/>
      <top/>
      <bottom/>
      <diagonal/>
    </border>
    <border>
      <left style="hair">
        <color rgb="FFFFC000"/>
      </left>
      <right style="hair">
        <color rgb="FFFFC000"/>
      </right>
      <top style="hair">
        <color rgb="FFFFC000"/>
      </top>
      <bottom style="hair">
        <color rgb="FFFFC000"/>
      </bottom>
      <diagonal/>
    </border>
    <border>
      <left style="hair">
        <color theme="4" tint="0.3999450666829432"/>
      </left>
      <right style="hair">
        <color theme="4" tint="0.3999450666829432"/>
      </right>
      <top style="hair">
        <color theme="4" tint="0.3999450666829432"/>
      </top>
      <bottom style="hair">
        <color theme="4" tint="0.3999450666829432"/>
      </bottom>
      <diagonal/>
    </border>
    <border>
      <left style="hair">
        <color rgb="FFFFC000"/>
      </left>
      <right/>
      <top style="hair">
        <color rgb="FFFFC000"/>
      </top>
      <bottom style="hair">
        <color rgb="FFFFC000"/>
      </bottom>
      <diagonal/>
    </border>
    <border>
      <left style="hair">
        <color theme="4" tint="0.3999145481734672"/>
      </left>
      <right style="hair">
        <color theme="4" tint="0.3999145481734672"/>
      </right>
      <top style="hair">
        <color theme="4" tint="0.3999145481734672"/>
      </top>
      <bottom style="hair">
        <color theme="4" tint="0.3999145481734672"/>
      </bottom>
      <diagonal/>
    </border>
    <border>
      <left style="medium">
        <color theme="4" tint="0.3999145481734672"/>
      </left>
      <right style="hair">
        <color theme="4" tint="0.3999145481734672"/>
      </right>
      <top style="medium">
        <color theme="4" tint="0.3999145481734672"/>
      </top>
      <bottom style="hair">
        <color theme="4" tint="0.3999145481734672"/>
      </bottom>
      <diagonal/>
    </border>
    <border>
      <left style="hair">
        <color theme="4" tint="0.3999145481734672"/>
      </left>
      <right style="hair">
        <color theme="4" tint="0.3999145481734672"/>
      </right>
      <top style="medium">
        <color theme="4" tint="0.3999145481734672"/>
      </top>
      <bottom style="hair">
        <color theme="4" tint="0.3999145481734672"/>
      </bottom>
      <diagonal/>
    </border>
    <border>
      <left style="hair">
        <color theme="4" tint="0.3999145481734672"/>
      </left>
      <right style="medium">
        <color theme="4" tint="0.3999145481734672"/>
      </right>
      <top style="medium">
        <color theme="4" tint="0.3999145481734672"/>
      </top>
      <bottom style="hair">
        <color theme="4" tint="0.3999145481734672"/>
      </bottom>
      <diagonal/>
    </border>
    <border>
      <left style="medium">
        <color theme="4" tint="0.3999145481734672"/>
      </left>
      <right style="hair">
        <color theme="4" tint="0.3999145481734672"/>
      </right>
      <top style="hair">
        <color theme="4" tint="0.3999145481734672"/>
      </top>
      <bottom style="hair">
        <color theme="4" tint="0.3999145481734672"/>
      </bottom>
      <diagonal/>
    </border>
    <border>
      <left style="hair">
        <color theme="4" tint="0.3999145481734672"/>
      </left>
      <right style="medium">
        <color theme="4" tint="0.3999145481734672"/>
      </right>
      <top style="hair">
        <color theme="4" tint="0.3999145481734672"/>
      </top>
      <bottom style="hair">
        <color theme="4" tint="0.3999145481734672"/>
      </bottom>
      <diagonal/>
    </border>
    <border>
      <left style="medium">
        <color theme="4" tint="0.3999145481734672"/>
      </left>
      <right style="hair">
        <color theme="4" tint="0.3999145481734672"/>
      </right>
      <top style="hair">
        <color theme="4" tint="0.3999145481734672"/>
      </top>
      <bottom style="medium">
        <color theme="4" tint="0.3999145481734672"/>
      </bottom>
      <diagonal/>
    </border>
    <border>
      <left style="hair">
        <color theme="4" tint="0.3999145481734672"/>
      </left>
      <right style="hair">
        <color theme="4" tint="0.3999145481734672"/>
      </right>
      <top style="hair">
        <color theme="4" tint="0.3999145481734672"/>
      </top>
      <bottom style="medium">
        <color theme="4" tint="0.3999145481734672"/>
      </bottom>
      <diagonal/>
    </border>
    <border>
      <left style="hair">
        <color theme="4" tint="0.3999145481734672"/>
      </left>
      <right style="medium">
        <color theme="4" tint="0.3999145481734672"/>
      </right>
      <top style="hair">
        <color theme="4" tint="0.3999145481734672"/>
      </top>
      <bottom style="medium">
        <color theme="4" tint="0.3999145481734672"/>
      </bottom>
      <diagonal/>
    </border>
    <border>
      <left style="medium">
        <color theme="4" tint="0.3999145481734672"/>
      </left>
      <right style="hair">
        <color theme="4" tint="0.3999450666829432"/>
      </right>
      <top style="medium">
        <color theme="4" tint="0.3999145481734672"/>
      </top>
      <bottom style="hair">
        <color theme="4" tint="0.3999450666829432"/>
      </bottom>
      <diagonal/>
    </border>
    <border>
      <left style="hair">
        <color theme="4" tint="0.3999450666829432"/>
      </left>
      <right style="hair">
        <color theme="4" tint="0.3999450666829432"/>
      </right>
      <top style="medium">
        <color theme="4" tint="0.3999145481734672"/>
      </top>
      <bottom style="hair">
        <color theme="4" tint="0.3999450666829432"/>
      </bottom>
      <diagonal/>
    </border>
    <border>
      <left style="medium">
        <color theme="4" tint="0.3999145481734672"/>
      </left>
      <right style="hair">
        <color theme="4" tint="0.3999450666829432"/>
      </right>
      <top style="hair">
        <color theme="4" tint="0.3999450666829432"/>
      </top>
      <bottom style="hair">
        <color theme="4" tint="0.3999450666829432"/>
      </bottom>
      <diagonal/>
    </border>
    <border>
      <left style="hair">
        <color theme="5" tint="-0.249946592608417"/>
      </left>
      <right style="hair">
        <color theme="5" tint="-0.249946592608417"/>
      </right>
      <top style="hair">
        <color theme="5" tint="-0.249946592608417"/>
      </top>
      <bottom style="hair">
        <color theme="5" tint="-0.249946592608417"/>
      </bottom>
      <diagonal/>
    </border>
    <border>
      <left style="hair">
        <color rgb="FFFFC000"/>
      </left>
      <right style="hair">
        <color rgb="FFFFC000"/>
      </right>
      <top style="hair">
        <color rgb="FFFFC000"/>
      </top>
      <bottom/>
      <diagonal/>
    </border>
    <border>
      <left style="hair">
        <color rgb="FFFFC000"/>
      </left>
      <right style="hair">
        <color rgb="FFFFC000"/>
      </right>
      <top/>
      <bottom style="hair">
        <color rgb="FFFFC000"/>
      </bottom>
      <diagonal/>
    </border>
    <border>
      <left/>
      <right/>
      <top style="medium">
        <color theme="4" tint="0.3999145481734672"/>
      </top>
      <bottom/>
      <diagonal/>
    </border>
    <border>
      <left/>
      <right/>
      <top style="hair">
        <color theme="4" tint="0.3999145481734672"/>
      </top>
      <bottom style="hair">
        <color theme="4" tint="0.3999145481734672"/>
      </bottom>
      <diagonal/>
    </border>
    <border>
      <left/>
      <right style="hair">
        <color theme="4" tint="0.3999145481734672"/>
      </right>
      <top style="hair">
        <color theme="4" tint="0.3999145481734672"/>
      </top>
      <bottom style="hair">
        <color theme="4" tint="0.3999145481734672"/>
      </bottom>
      <diagonal/>
    </border>
    <border>
      <left/>
      <right/>
      <top style="medium">
        <color theme="4" tint="0.3999145481734672"/>
      </top>
      <bottom style="hair">
        <color theme="4" tint="0.3999145481734672"/>
      </bottom>
      <diagonal/>
    </border>
    <border>
      <left/>
      <right style="hair">
        <color theme="4" tint="0.3999145481734672"/>
      </right>
      <top style="medium">
        <color theme="4" tint="0.3999145481734672"/>
      </top>
      <bottom style="hair">
        <color theme="4" tint="0.3999145481734672"/>
      </bottom>
      <diagonal/>
    </border>
    <border>
      <left/>
      <right/>
      <top style="hair">
        <color theme="4" tint="0.3999145481734672"/>
      </top>
      <bottom style="medium">
        <color theme="4" tint="0.3999145481734672"/>
      </bottom>
      <diagonal/>
    </border>
    <border>
      <left/>
      <right style="hair">
        <color theme="4" tint="0.3999145481734672"/>
      </right>
      <top style="hair">
        <color theme="4" tint="0.3999145481734672"/>
      </top>
      <bottom style="medium">
        <color theme="4" tint="0.3999145481734672"/>
      </bottom>
      <diagonal/>
    </border>
    <border>
      <left/>
      <right/>
      <top style="hair">
        <color theme="4" tint="0.3999145481734672"/>
      </top>
      <bottom/>
      <diagonal/>
    </border>
    <border>
      <left/>
      <right style="hair">
        <color theme="4" tint="0.3999145481734672"/>
      </right>
      <top style="hair">
        <color theme="4" tint="0.3999145481734672"/>
      </top>
      <bottom/>
      <diagonal/>
    </border>
    <border>
      <left/>
      <right style="hair">
        <color theme="4" tint="0.3999145481734672"/>
      </right>
      <top style="medium">
        <color theme="4" tint="0.3999145481734672"/>
      </top>
      <bottom/>
      <diagonal/>
    </border>
  </borders>
  <cellStyleXfs count="3">
    <xf numFmtId="0" fontId="1" fillId="0" borderId="0" applyAlignment="1">
      <alignment vertical="center"/>
    </xf>
    <xf numFmtId="9" fontId="1" fillId="0" borderId="0" applyAlignment="1">
      <alignment vertical="center"/>
    </xf>
    <xf numFmtId="0" fontId="3" fillId="0" borderId="0" applyAlignment="1">
      <alignment vertical="center"/>
    </xf>
  </cellStyleXfs>
  <cellXfs count="14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shrinkToFit="1"/>
    </xf>
    <xf numFmtId="0" fontId="0" fillId="3" borderId="5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4" borderId="11" applyAlignment="1" pivotButton="0" quotePrefix="0" xfId="0">
      <alignment vertical="center"/>
    </xf>
    <xf numFmtId="0" fontId="5" fillId="0" borderId="16" applyAlignment="1" pivotButton="0" quotePrefix="0" xfId="0">
      <alignment horizontal="left" vertical="center" wrapText="1"/>
    </xf>
    <xf numFmtId="0" fontId="0" fillId="5" borderId="3" applyAlignment="1" pivotButton="0" quotePrefix="0" xfId="0">
      <alignment horizontal="center" vertical="center"/>
    </xf>
    <xf numFmtId="0" fontId="3" fillId="5" borderId="16" applyAlignment="1" pivotButton="0" quotePrefix="0" xfId="0">
      <alignment horizontal="center" vertical="center"/>
    </xf>
    <xf numFmtId="0" fontId="0" fillId="5" borderId="16" applyAlignment="1" pivotButton="0" quotePrefix="0" xfId="0">
      <alignment horizontal="center" vertical="center"/>
    </xf>
    <xf numFmtId="0" fontId="0" fillId="5" borderId="16" applyAlignment="1" pivotButton="0" quotePrefix="0" xfId="0">
      <alignment horizontal="center" vertical="center" shrinkToFit="1"/>
    </xf>
    <xf numFmtId="0" fontId="3" fillId="5" borderId="16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shrinkToFit="1"/>
    </xf>
    <xf numFmtId="0" fontId="5" fillId="5" borderId="16" applyAlignment="1" pivotButton="0" quotePrefix="0" xfId="0">
      <alignment horizontal="left" vertical="center" wrapText="1"/>
    </xf>
    <xf numFmtId="0" fontId="3" fillId="5" borderId="16" applyAlignment="1" pivotButton="0" quotePrefix="0" xfId="0">
      <alignment horizontal="left" vertical="center"/>
    </xf>
    <xf numFmtId="0" fontId="3" fillId="5" borderId="18" applyAlignment="1" pivotButton="0" quotePrefix="0" xfId="0">
      <alignment horizontal="center" vertical="center"/>
    </xf>
    <xf numFmtId="0" fontId="0" fillId="5" borderId="18" applyAlignment="1" pivotButton="0" quotePrefix="0" xfId="0">
      <alignment horizontal="center" vertical="center"/>
    </xf>
    <xf numFmtId="0" fontId="0" fillId="5" borderId="18" applyAlignment="1" pivotButton="0" quotePrefix="0" xfId="0">
      <alignment horizontal="center" vertical="center" shrinkToFit="1"/>
    </xf>
    <xf numFmtId="0" fontId="3" fillId="5" borderId="1" applyAlignment="1" pivotButton="0" quotePrefix="0" xfId="0">
      <alignment horizontal="center" vertical="center"/>
    </xf>
    <xf numFmtId="0" fontId="3" fillId="6" borderId="16" applyAlignment="1" pivotButton="0" quotePrefix="0" xfId="0">
      <alignment horizontal="center" vertical="center"/>
    </xf>
    <xf numFmtId="0" fontId="0" fillId="6" borderId="16" applyAlignment="1" pivotButton="0" quotePrefix="0" xfId="0">
      <alignment horizontal="center" vertical="center"/>
    </xf>
    <xf numFmtId="0" fontId="0" fillId="6" borderId="16" applyAlignment="1" pivotButton="0" quotePrefix="0" xfId="0">
      <alignment horizontal="center" vertical="center" shrinkToFit="1"/>
    </xf>
    <xf numFmtId="0" fontId="3" fillId="6" borderId="16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shrinkToFit="1"/>
    </xf>
    <xf numFmtId="0" fontId="5" fillId="6" borderId="16" applyAlignment="1" pivotButton="0" quotePrefix="0" xfId="0">
      <alignment horizontal="left" vertical="center" wrapText="1"/>
    </xf>
    <xf numFmtId="0" fontId="3" fillId="7" borderId="16" applyAlignment="1" pivotButton="0" quotePrefix="0" xfId="0">
      <alignment horizontal="center" vertical="center"/>
    </xf>
    <xf numFmtId="0" fontId="0" fillId="7" borderId="16" applyAlignment="1" pivotButton="0" quotePrefix="0" xfId="0">
      <alignment horizontal="center" vertical="center"/>
    </xf>
    <xf numFmtId="0" fontId="0" fillId="7" borderId="16" applyAlignment="1" pivotButton="0" quotePrefix="0" xfId="0">
      <alignment horizontal="center" vertical="center" shrinkToFit="1"/>
    </xf>
    <xf numFmtId="0" fontId="5" fillId="7" borderId="16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6" fillId="5" borderId="16" applyAlignment="1" pivotButton="0" quotePrefix="0" xfId="0">
      <alignment horizontal="left" vertical="center" wrapText="1"/>
    </xf>
    <xf numFmtId="0" fontId="3" fillId="8" borderId="16" applyAlignment="1" pivotButton="0" quotePrefix="0" xfId="0">
      <alignment horizontal="center" vertical="center"/>
    </xf>
    <xf numFmtId="0" fontId="0" fillId="8" borderId="16" applyAlignment="1" pivotButton="0" quotePrefix="0" xfId="0">
      <alignment horizontal="center" vertical="center"/>
    </xf>
    <xf numFmtId="0" fontId="0" fillId="8" borderId="16" applyAlignment="1" pivotButton="0" quotePrefix="0" xfId="0">
      <alignment horizontal="center" vertical="center" shrinkToFit="1"/>
    </xf>
    <xf numFmtId="0" fontId="5" fillId="8" borderId="16" applyAlignment="1" pivotButton="0" quotePrefix="0" xfId="0">
      <alignment horizontal="left" vertical="center" wrapText="1"/>
    </xf>
    <xf numFmtId="0" fontId="3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 shrinkToFit="1"/>
    </xf>
    <xf numFmtId="0" fontId="0" fillId="3" borderId="19" applyAlignment="1" pivotButton="0" quotePrefix="0" xfId="0">
      <alignment horizontal="center" vertical="center"/>
    </xf>
    <xf numFmtId="0" fontId="3" fillId="9" borderId="16" applyAlignment="1" pivotButton="0" quotePrefix="0" xfId="0">
      <alignment horizontal="center" vertical="center"/>
    </xf>
    <xf numFmtId="0" fontId="0" fillId="9" borderId="16" applyAlignment="1" pivotButton="0" quotePrefix="0" xfId="0">
      <alignment horizontal="center" vertical="center"/>
    </xf>
    <xf numFmtId="0" fontId="0" fillId="9" borderId="16" applyAlignment="1" pivotButton="0" quotePrefix="0" xfId="0">
      <alignment horizontal="center" vertical="center" shrinkToFit="1"/>
    </xf>
    <xf numFmtId="0" fontId="5" fillId="9" borderId="16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0" fillId="6" borderId="16" applyAlignment="1" pivotButton="0" quotePrefix="0" xfId="0">
      <alignment horizontal="center" vertical="center"/>
    </xf>
    <xf numFmtId="0" fontId="10" fillId="6" borderId="16" applyAlignment="1" pivotButton="0" quotePrefix="0" xfId="0">
      <alignment horizontal="center" vertical="center" shrinkToFit="1"/>
    </xf>
    <xf numFmtId="0" fontId="10" fillId="6" borderId="16" applyAlignment="1" pivotButton="0" quotePrefix="0" xfId="0">
      <alignment horizontal="left" vertical="center" wrapText="1"/>
    </xf>
    <xf numFmtId="0" fontId="3" fillId="10" borderId="16" applyAlignment="1" pivotButton="0" quotePrefix="0" xfId="0">
      <alignment horizontal="center" vertical="center"/>
    </xf>
    <xf numFmtId="0" fontId="0" fillId="10" borderId="16" applyAlignment="1" pivotButton="0" quotePrefix="0" xfId="0">
      <alignment horizontal="center" vertical="center"/>
    </xf>
    <xf numFmtId="0" fontId="0" fillId="10" borderId="16" applyAlignment="1" pivotButton="0" quotePrefix="0" xfId="0">
      <alignment horizontal="center" vertical="center" shrinkToFit="1"/>
    </xf>
    <xf numFmtId="0" fontId="5" fillId="10" borderId="16" applyAlignment="1" pivotButton="0" quotePrefix="0" xfId="0">
      <alignment horizontal="left" vertical="center" wrapText="1"/>
    </xf>
    <xf numFmtId="0" fontId="9" fillId="5" borderId="16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0" borderId="0" pivotButton="0" quotePrefix="0" xfId="0"/>
    <xf numFmtId="164" fontId="0" fillId="3" borderId="14" applyAlignment="1" pivotButton="0" quotePrefix="0" xfId="0">
      <alignment horizontal="center" vertical="center"/>
    </xf>
    <xf numFmtId="165" fontId="0" fillId="0" borderId="2" applyAlignment="1" pivotButton="0" quotePrefix="0" xfId="1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11" fillId="5" borderId="3" applyAlignment="1" pivotButton="0" quotePrefix="0" xfId="0">
      <alignment horizontal="center" vertical="center"/>
    </xf>
    <xf numFmtId="164" fontId="11" fillId="5" borderId="16" applyAlignment="1" pivotButton="0" quotePrefix="0" xfId="0">
      <alignment horizontal="center" vertical="center"/>
    </xf>
    <xf numFmtId="167" fontId="11" fillId="5" borderId="16" applyAlignment="1" pivotButton="0" quotePrefix="0" xfId="0">
      <alignment horizontal="center" vertical="center"/>
    </xf>
    <xf numFmtId="0" fontId="11" fillId="5" borderId="16" applyAlignment="1" pivotButton="0" quotePrefix="0" xfId="0">
      <alignment horizontal="center" vertical="center"/>
    </xf>
    <xf numFmtId="0" fontId="12" fillId="5" borderId="16" applyAlignment="1" pivotButton="0" quotePrefix="0" xfId="0">
      <alignment horizontal="left" vertical="center" wrapText="1"/>
    </xf>
    <xf numFmtId="164" fontId="3" fillId="5" borderId="16" applyAlignment="1" pivotButton="0" quotePrefix="0" xfId="0">
      <alignment horizontal="center" vertical="center"/>
    </xf>
    <xf numFmtId="167" fontId="3" fillId="5" borderId="16" applyAlignment="1" pivotButton="0" quotePrefix="0" xfId="0">
      <alignment horizontal="center" vertical="center"/>
    </xf>
    <xf numFmtId="164" fontId="3" fillId="6" borderId="16" applyAlignment="1" pivotButton="0" quotePrefix="0" xfId="0">
      <alignment horizontal="center" vertical="center"/>
    </xf>
    <xf numFmtId="167" fontId="3" fillId="6" borderId="16" applyAlignment="1" pivotButton="0" quotePrefix="0" xfId="0">
      <alignment horizontal="center" vertical="center"/>
    </xf>
    <xf numFmtId="164" fontId="10" fillId="6" borderId="16" applyAlignment="1" pivotButton="0" quotePrefix="0" xfId="0">
      <alignment horizontal="center" vertical="center"/>
    </xf>
    <xf numFmtId="167" fontId="10" fillId="6" borderId="16" applyAlignment="1" pivotButton="0" quotePrefix="0" xfId="0">
      <alignment horizontal="center" vertical="center"/>
    </xf>
    <xf numFmtId="164" fontId="3" fillId="9" borderId="16" applyAlignment="1" pivotButton="0" quotePrefix="0" xfId="0">
      <alignment horizontal="center" vertical="center"/>
    </xf>
    <xf numFmtId="167" fontId="3" fillId="9" borderId="16" applyAlignment="1" pivotButton="0" quotePrefix="0" xfId="0">
      <alignment horizontal="center" vertical="center"/>
    </xf>
    <xf numFmtId="164" fontId="3" fillId="10" borderId="16" applyAlignment="1" pivotButton="0" quotePrefix="0" xfId="0">
      <alignment horizontal="center" vertical="center"/>
    </xf>
    <xf numFmtId="167" fontId="3" fillId="10" borderId="16" applyAlignment="1" pivotButton="0" quotePrefix="0" xfId="0">
      <alignment horizontal="center" vertical="center"/>
    </xf>
    <xf numFmtId="164" fontId="3" fillId="0" borderId="16" applyAlignment="1" pivotButton="0" quotePrefix="0" xfId="0">
      <alignment horizontal="center" vertical="center"/>
    </xf>
    <xf numFmtId="167" fontId="3" fillId="0" borderId="16" applyAlignment="1" pivotButton="0" quotePrefix="0" xfId="0">
      <alignment horizontal="center" vertical="center"/>
    </xf>
    <xf numFmtId="164" fontId="3" fillId="8" borderId="16" applyAlignment="1" pivotButton="0" quotePrefix="0" xfId="0">
      <alignment horizontal="center" vertical="center"/>
    </xf>
    <xf numFmtId="167" fontId="3" fillId="8" borderId="16" applyAlignment="1" pivotButton="0" quotePrefix="0" xfId="0">
      <alignment horizontal="center" vertical="center"/>
    </xf>
    <xf numFmtId="164" fontId="3" fillId="7" borderId="16" applyAlignment="1" pivotButton="0" quotePrefix="0" xfId="0">
      <alignment horizontal="center" vertical="center"/>
    </xf>
    <xf numFmtId="167" fontId="3" fillId="7" borderId="16" applyAlignment="1" pivotButton="0" quotePrefix="0" xfId="0">
      <alignment horizontal="center" vertical="center"/>
    </xf>
    <xf numFmtId="164" fontId="3" fillId="5" borderId="18" applyAlignment="1" pivotButton="0" quotePrefix="0" xfId="0">
      <alignment horizontal="center" vertical="center"/>
    </xf>
    <xf numFmtId="167" fontId="3" fillId="5" borderId="18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0" fillId="0" borderId="4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3" borderId="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4" borderId="1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164" fontId="0" fillId="3" borderId="14" applyAlignment="1" pivotButton="0" quotePrefix="0" xfId="0">
      <alignment horizontal="center" vertical="center"/>
    </xf>
    <xf numFmtId="165" fontId="0" fillId="0" borderId="2" applyAlignment="1" pivotButton="0" quotePrefix="0" xfId="1">
      <alignment horizontal="center" vertical="center"/>
    </xf>
    <xf numFmtId="166" fontId="0" fillId="0" borderId="2" applyAlignment="1" pivotButton="0" quotePrefix="0" xfId="0">
      <alignment horizontal="center" vertical="center"/>
    </xf>
    <xf numFmtId="164" fontId="11" fillId="5" borderId="16" applyAlignment="1" pivotButton="0" quotePrefix="0" xfId="0">
      <alignment horizontal="center" vertical="center"/>
    </xf>
    <xf numFmtId="167" fontId="11" fillId="5" borderId="16" applyAlignment="1" pivotButton="0" quotePrefix="0" xfId="0">
      <alignment horizontal="center" vertical="center"/>
    </xf>
    <xf numFmtId="164" fontId="3" fillId="5" borderId="16" applyAlignment="1" pivotButton="0" quotePrefix="0" xfId="0">
      <alignment horizontal="center" vertical="center"/>
    </xf>
    <xf numFmtId="167" fontId="3" fillId="5" borderId="16" applyAlignment="1" pivotButton="0" quotePrefix="0" xfId="0">
      <alignment horizontal="center" vertical="center"/>
    </xf>
    <xf numFmtId="164" fontId="3" fillId="6" borderId="16" applyAlignment="1" pivotButton="0" quotePrefix="0" xfId="0">
      <alignment horizontal="center" vertical="center"/>
    </xf>
    <xf numFmtId="167" fontId="3" fillId="6" borderId="16" applyAlignment="1" pivotButton="0" quotePrefix="0" xfId="0">
      <alignment horizontal="center" vertical="center"/>
    </xf>
    <xf numFmtId="164" fontId="10" fillId="6" borderId="16" applyAlignment="1" pivotButton="0" quotePrefix="0" xfId="0">
      <alignment horizontal="center" vertical="center"/>
    </xf>
    <xf numFmtId="167" fontId="10" fillId="6" borderId="16" applyAlignment="1" pivotButton="0" quotePrefix="0" xfId="0">
      <alignment horizontal="center" vertical="center"/>
    </xf>
    <xf numFmtId="164" fontId="3" fillId="9" borderId="16" applyAlignment="1" pivotButton="0" quotePrefix="0" xfId="0">
      <alignment horizontal="center" vertical="center"/>
    </xf>
    <xf numFmtId="167" fontId="3" fillId="9" borderId="16" applyAlignment="1" pivotButton="0" quotePrefix="0" xfId="0">
      <alignment horizontal="center" vertical="center"/>
    </xf>
    <xf numFmtId="164" fontId="3" fillId="10" borderId="16" applyAlignment="1" pivotButton="0" quotePrefix="0" xfId="0">
      <alignment horizontal="center" vertical="center"/>
    </xf>
    <xf numFmtId="167" fontId="3" fillId="10" borderId="16" applyAlignment="1" pivotButton="0" quotePrefix="0" xfId="0">
      <alignment horizontal="center" vertical="center"/>
    </xf>
    <xf numFmtId="164" fontId="3" fillId="0" borderId="16" applyAlignment="1" pivotButton="0" quotePrefix="0" xfId="0">
      <alignment horizontal="center" vertical="center"/>
    </xf>
    <xf numFmtId="167" fontId="3" fillId="0" borderId="16" applyAlignment="1" pivotButton="0" quotePrefix="0" xfId="0">
      <alignment horizontal="center" vertical="center"/>
    </xf>
    <xf numFmtId="164" fontId="3" fillId="8" borderId="16" applyAlignment="1" pivotButton="0" quotePrefix="0" xfId="0">
      <alignment horizontal="center" vertical="center"/>
    </xf>
    <xf numFmtId="167" fontId="3" fillId="8" borderId="16" applyAlignment="1" pivotButton="0" quotePrefix="0" xfId="0">
      <alignment horizontal="center" vertical="center"/>
    </xf>
    <xf numFmtId="164" fontId="3" fillId="7" borderId="16" applyAlignment="1" pivotButton="0" quotePrefix="0" xfId="0">
      <alignment horizontal="center" vertical="center"/>
    </xf>
    <xf numFmtId="167" fontId="3" fillId="7" borderId="16" applyAlignment="1" pivotButton="0" quotePrefix="0" xfId="0">
      <alignment horizontal="center" vertical="center"/>
    </xf>
    <xf numFmtId="164" fontId="3" fillId="5" borderId="18" applyAlignment="1" pivotButton="0" quotePrefix="0" xfId="0">
      <alignment horizontal="center" vertical="center"/>
    </xf>
    <xf numFmtId="167" fontId="3" fillId="5" borderId="18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</cellXfs>
  <cellStyles count="3">
    <cellStyle name="표준" xfId="0" builtinId="0"/>
    <cellStyle name="백분율" xfId="1" builtinId="5"/>
    <cellStyle name="표준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2:M14"/>
  <sheetViews>
    <sheetView showGridLines="0" zoomScale="115" zoomScaleNormal="115" workbookViewId="0">
      <selection activeCell="E27" sqref="D27:E27"/>
    </sheetView>
  </sheetViews>
  <sheetFormatPr baseColWidth="8" defaultRowHeight="16.5"/>
  <sheetData>
    <row r="12" ht="25.5" customHeight="1" s="77">
      <c r="A12" s="110" t="inlineStr">
        <is>
          <t xml:space="preserve">  건설안전기술사 과년도 출제문제 분석</t>
        </is>
      </c>
    </row>
    <row r="14" ht="22.5" customHeight="1" s="77">
      <c r="H14" s="108" t="inlineStr">
        <is>
          <t>(106회~137회)</t>
        </is>
      </c>
    </row>
  </sheetData>
  <mergeCells count="2">
    <mergeCell ref="H14:L14"/>
    <mergeCell ref="A12:M12"/>
  </mergeCells>
  <printOptions horizontalCentered="1"/>
  <pageMargins left="0.7086614173228347" right="0.7086614173228347" top="1.377952755905512" bottom="0.7480314960629921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9"/>
  <sheetViews>
    <sheetView showZeros="0" zoomScaleNormal="100" workbookViewId="0">
      <selection activeCell="A27" sqref="A27"/>
    </sheetView>
  </sheetViews>
  <sheetFormatPr baseColWidth="8" defaultRowHeight="16.5"/>
  <cols>
    <col width="17.875" bestFit="1" customWidth="1" style="77" min="2" max="2"/>
    <col width="6.375" bestFit="1" customWidth="1" style="77" min="4" max="4"/>
    <col width="5.625" bestFit="1" customWidth="1" style="77" min="5" max="5"/>
    <col width="5.625" customWidth="1" style="77" min="6" max="10"/>
    <col width="6.375" bestFit="1" customWidth="1" style="77" min="11" max="37"/>
    <col width="5.375" customWidth="1" style="77" min="38" max="38"/>
  </cols>
  <sheetData>
    <row r="1" ht="20.25" customHeight="1" s="77" thickBot="1">
      <c r="A1" s="10" t="inlineStr">
        <is>
          <t>□ 최근 건설안전기술사 과년도 출제 분석(106회~137회)</t>
        </is>
      </c>
      <c r="O1" s="109">
        <f>E3</f>
        <v/>
      </c>
    </row>
    <row r="2">
      <c r="A2" s="13" t="inlineStr">
        <is>
          <t>NO</t>
        </is>
      </c>
      <c r="B2" s="114" t="inlineStr">
        <is>
          <t>분류</t>
        </is>
      </c>
      <c r="C2" s="114" t="inlineStr">
        <is>
          <t>합계</t>
        </is>
      </c>
      <c r="D2" s="115" t="n"/>
      <c r="E2" s="116" t="n"/>
      <c r="F2" s="120" t="n">
        <v>137</v>
      </c>
      <c r="G2" s="120" t="n">
        <v>136</v>
      </c>
      <c r="H2" s="120" t="n">
        <v>135</v>
      </c>
      <c r="I2" s="120" t="n">
        <v>134</v>
      </c>
      <c r="J2" s="120" t="n">
        <v>133</v>
      </c>
      <c r="K2" s="120" t="n">
        <v>132</v>
      </c>
      <c r="L2" s="120" t="n">
        <v>131</v>
      </c>
      <c r="M2" s="120" t="n">
        <v>130</v>
      </c>
      <c r="N2" s="120" t="n">
        <v>129</v>
      </c>
      <c r="O2" s="120" t="n">
        <v>128</v>
      </c>
      <c r="P2" s="120" t="n">
        <v>127</v>
      </c>
      <c r="Q2" s="120" t="n">
        <v>126</v>
      </c>
      <c r="R2" s="120" t="n">
        <v>125</v>
      </c>
      <c r="S2" s="120" t="n">
        <v>124</v>
      </c>
      <c r="T2" s="120" t="n">
        <v>123</v>
      </c>
      <c r="U2" s="120" t="n">
        <v>122</v>
      </c>
      <c r="V2" s="120" t="n">
        <v>121</v>
      </c>
      <c r="W2" s="120" t="n">
        <v>120</v>
      </c>
      <c r="X2" s="120" t="n">
        <v>119</v>
      </c>
      <c r="Y2" s="120" t="n">
        <v>118</v>
      </c>
      <c r="Z2" s="120" t="n">
        <v>117</v>
      </c>
      <c r="AA2" s="120" t="n">
        <v>116</v>
      </c>
      <c r="AB2" s="120" t="n">
        <v>115</v>
      </c>
      <c r="AC2" s="120" t="n">
        <v>114</v>
      </c>
      <c r="AD2" s="120" t="n">
        <v>113</v>
      </c>
      <c r="AE2" s="120" t="n">
        <v>112</v>
      </c>
      <c r="AF2" s="120" t="n">
        <v>111</v>
      </c>
      <c r="AG2" s="120" t="n">
        <v>110</v>
      </c>
      <c r="AH2" s="120" t="n">
        <v>109</v>
      </c>
      <c r="AI2" s="120" t="n">
        <v>108</v>
      </c>
      <c r="AJ2" s="120" t="n">
        <v>107</v>
      </c>
      <c r="AK2" s="120" t="n">
        <v>106</v>
      </c>
      <c r="AL2" s="14" t="inlineStr">
        <is>
          <t>비고</t>
        </is>
      </c>
    </row>
    <row r="3">
      <c r="A3" s="15" t="n">
        <v>1</v>
      </c>
      <c r="B3" s="111" t="inlineStr">
        <is>
          <t>산업안전보건법</t>
        </is>
      </c>
      <c r="C3" s="111">
        <f>SUM(E3:AK3)</f>
        <v/>
      </c>
      <c r="D3" s="112" t="n"/>
      <c r="E3" s="113" t="n"/>
      <c r="F3" s="9">
        <f>COUNTIFS(과년도모음!$B:$B,F$2,과년도모음!$E:$E,"산안법")</f>
        <v/>
      </c>
      <c r="G3" s="9">
        <f>COUNTIFS(과년도모음!$B:$B,G$2,과년도모음!$E:$E,"산안법")</f>
        <v/>
      </c>
      <c r="H3" s="9">
        <f>COUNTIFS(과년도모음!$B:$B,H$2,과년도모음!$E:$E,"산안법")</f>
        <v/>
      </c>
      <c r="I3" s="9">
        <f>COUNTIFS(과년도모음!$B:$B,I$2,과년도모음!$E:$E,"산안법")</f>
        <v/>
      </c>
      <c r="J3" s="9">
        <f>COUNTIFS(과년도모음!$B:$B,J$2,과년도모음!$E:$E,"산안법")</f>
        <v/>
      </c>
      <c r="K3" s="9">
        <f>COUNTIFS(과년도모음!$B:$B,K$2,과년도모음!$E:$E,"산안법")</f>
        <v/>
      </c>
      <c r="L3" s="9">
        <f>COUNTIFS(과년도모음!$B$1:$B$1024,L$2,과년도모음!$E$1:$E$1024,"산안법")</f>
        <v/>
      </c>
      <c r="M3" s="9">
        <f>COUNTIFS(과년도모음!$B$1:$B$1024,M$2,과년도모음!$E$1:$E$1024,"산안법")</f>
        <v/>
      </c>
      <c r="N3" s="9">
        <f>COUNTIFS(과년도모음!$B$281:$B$1024,N$2,과년도모음!$E$281:$E$1024,"산안법")</f>
        <v/>
      </c>
      <c r="O3" s="9">
        <f>COUNTIFS(과년도모음!$B$312:$B$1024,O$2,과년도모음!$E$312:$E$1024,"산안법")</f>
        <v/>
      </c>
      <c r="P3" s="9">
        <f>COUNTIFS(과년도모음!$B$343:$B$1024,P$2,과년도모음!$E$343:$E$1024,"산안법")</f>
        <v/>
      </c>
      <c r="Q3" s="9">
        <f>COUNTIFS(과년도모음!$B$343:$B$1024,Q$2,과년도모음!$E$343:$E$1024,"산안법")</f>
        <v/>
      </c>
      <c r="R3" s="9">
        <f>COUNTIFS(과년도모음!$B$343:$B$1024,R$2,과년도모음!$E$343:$E$1024,"산안법")</f>
        <v/>
      </c>
      <c r="S3" s="9">
        <f>COUNTIFS(과년도모음!$B$343:$B$1024,S$2,과년도모음!$E$343:$E$1024,"산안법")</f>
        <v/>
      </c>
      <c r="T3" s="9">
        <f>COUNTIFS(과년도모음!$B$343:$B$1024,T$2,과년도모음!$E$343:$E$1024,"산안법")</f>
        <v/>
      </c>
      <c r="U3" s="9">
        <f>COUNTIFS(과년도모음!$B$343:$B$1024,U$2,과년도모음!$E$343:$E$1024,"산안법")</f>
        <v/>
      </c>
      <c r="V3" s="9">
        <f>COUNTIFS(과년도모음!$B$343:$B$1024,V$2,과년도모음!$E$343:$E$1024,"산안법")</f>
        <v/>
      </c>
      <c r="W3" s="9">
        <f>COUNTIFS(과년도모음!$B$343:$B$1024,W$2,과년도모음!$E$343:$E$1024,"산안법")</f>
        <v/>
      </c>
      <c r="X3" s="9">
        <f>COUNTIFS(과년도모음!$B$343:$B$1024,X$2,과년도모음!$E$343:$E$1024,"산안법")</f>
        <v/>
      </c>
      <c r="Y3" s="9">
        <f>COUNTIFS(과년도모음!$B$343:$B$1024,Y$2,과년도모음!$E$343:$E$1024,"산안법")</f>
        <v/>
      </c>
      <c r="Z3" s="9">
        <f>COUNTIFS(과년도모음!$B$343:$B$1024,Z$2,과년도모음!$E$343:$E$1024,"산안법")</f>
        <v/>
      </c>
      <c r="AA3" s="9">
        <f>COUNTIFS(과년도모음!$B$343:$B$1024,AA$2,과년도모음!$E$343:$E$1024,"산안법")</f>
        <v/>
      </c>
      <c r="AB3" s="9">
        <f>COUNTIFS(과년도모음!$B$343:$B$1024,AB$2,과년도모음!$E$343:$E$1024,"산안법")</f>
        <v/>
      </c>
      <c r="AC3" s="9">
        <f>COUNTIFS(과년도모음!$B$343:$B$1024,AC$2,과년도모음!$E$343:$E$1024,"산안법")</f>
        <v/>
      </c>
      <c r="AD3" s="9">
        <f>COUNTIFS(과년도모음!$B$343:$B$1024,AD$2,과년도모음!$E$343:$E$1024,"산안법")</f>
        <v/>
      </c>
      <c r="AE3" s="9">
        <f>COUNTIFS(과년도모음!$B$343:$B$1024,AE$2,과년도모음!$E$343:$E$1024,"산안법")</f>
        <v/>
      </c>
      <c r="AF3" s="9">
        <f>COUNTIFS(과년도모음!$B$343:$B$1024,AF$2,과년도모음!$E$343:$E$1024,"산안법")</f>
        <v/>
      </c>
      <c r="AG3" s="9">
        <f>COUNTIFS(과년도모음!$B$343:$B$1024,AG$2,과년도모음!$E$343:$E$1024,"산안법")</f>
        <v/>
      </c>
      <c r="AH3" s="9">
        <f>COUNTIFS(과년도모음!$B$343:$B$1024,AH$2,과년도모음!$E$343:$E$1024,"산안법")</f>
        <v/>
      </c>
      <c r="AI3" s="9">
        <f>COUNTIFS(과년도모음!$B$343:$B$1024,AI$2,과년도모음!$E$343:$E$1024,"산안법")</f>
        <v/>
      </c>
      <c r="AJ3" s="9">
        <f>COUNTIFS(과년도모음!$B$343:$B$1024,AJ$2,과년도모음!$E$343:$E$1024,"산안법")</f>
        <v/>
      </c>
      <c r="AK3" s="9">
        <f>COUNTIFS(과년도모음!$B$343:$B$1024,AK$2,과년도모음!$E$343:$E$1024,"산안법")</f>
        <v/>
      </c>
      <c r="AL3" s="16" t="n"/>
    </row>
    <row r="4">
      <c r="A4" s="15" t="n">
        <v>2</v>
      </c>
      <c r="B4" s="111" t="inlineStr">
        <is>
          <t>건설기술진흥법</t>
        </is>
      </c>
      <c r="C4" s="111">
        <f>SUM(E4:AK4)</f>
        <v/>
      </c>
      <c r="D4" s="112" t="n"/>
      <c r="E4" s="113" t="n"/>
      <c r="F4" s="9">
        <f>COUNTIFS(과년도모음!$B$1:$B$1024,F$2,과년도모음!$E$1:$E$1024,"건진법")</f>
        <v/>
      </c>
      <c r="G4" s="9">
        <f>COUNTIFS(과년도모음!$B$1:$B$1024,G$2,과년도모음!$E$1:$E$1024,"건진법")</f>
        <v/>
      </c>
      <c r="H4" s="9">
        <f>COUNTIFS(과년도모음!$B$1:$B$1024,H$2,과년도모음!$E$1:$E$1024,"건진법")</f>
        <v/>
      </c>
      <c r="I4" s="9">
        <f>COUNTIFS(과년도모음!$B$1:$B$1024,I$2,과년도모음!$E$1:$E$1024,"건진법")</f>
        <v/>
      </c>
      <c r="J4" s="9">
        <f>COUNTIFS(과년도모음!$B$1:$B$1024,J$2,과년도모음!$E$1:$E$1024,"건진법")</f>
        <v/>
      </c>
      <c r="K4" s="9">
        <f>COUNTIFS(과년도모음!$B$1:$B$1024,K$2,과년도모음!$E$1:$E$1024,"건진법")</f>
        <v/>
      </c>
      <c r="L4" s="9">
        <f>COUNTIFS(과년도모음!$B$1:$B$1024,L$2,과년도모음!$E$1:$E$1024,"건진법")</f>
        <v/>
      </c>
      <c r="M4" s="9">
        <f>COUNTIFS(과년도모음!$B$1:$B$1024,M$2,과년도모음!$E$1:$E$1024,"건진법")</f>
        <v/>
      </c>
      <c r="N4" s="9">
        <f>COUNTIFS(과년도모음!$B$281:$B$1024,N$2,과년도모음!$E$281:$E$1024,"건진법")</f>
        <v/>
      </c>
      <c r="O4" s="9">
        <f>COUNTIFS(과년도모음!$B$312:$B$1024,O$2,과년도모음!$E$312:$E$1024,"건진법")</f>
        <v/>
      </c>
      <c r="P4" s="9">
        <f>COUNTIFS(과년도모음!$B$343:$B$1024,P$2,과년도모음!$E$343:$E$1024,"건진법")</f>
        <v/>
      </c>
      <c r="Q4" s="9">
        <f>COUNTIFS(과년도모음!$B$343:$B$1024,Q$2,과년도모음!$E$343:$E$1024,"건진법")</f>
        <v/>
      </c>
      <c r="R4" s="9">
        <f>COUNTIFS(과년도모음!$B$343:$B$1024,R$2,과년도모음!$E$343:$E$1024,"건진법")</f>
        <v/>
      </c>
      <c r="S4" s="9">
        <f>COUNTIFS(과년도모음!$B$343:$B$1024,S$2,과년도모음!$E$343:$E$1024,"건진법")</f>
        <v/>
      </c>
      <c r="T4" s="9">
        <f>COUNTIFS(과년도모음!$B$343:$B$1024,T$2,과년도모음!$E$343:$E$1024,"건진법")</f>
        <v/>
      </c>
      <c r="U4" s="9">
        <f>COUNTIFS(과년도모음!$B$343:$B$1024,U$2,과년도모음!$E$343:$E$1024,"건진법")</f>
        <v/>
      </c>
      <c r="V4" s="9">
        <f>COUNTIFS(과년도모음!$B$343:$B$1024,V$2,과년도모음!$E$343:$E$1024,"건진법")</f>
        <v/>
      </c>
      <c r="W4" s="9">
        <f>COUNTIFS(과년도모음!$B$343:$B$1024,W$2,과년도모음!$E$343:$E$1024,"건진법")</f>
        <v/>
      </c>
      <c r="X4" s="9">
        <f>COUNTIFS(과년도모음!$B$343:$B$1024,X$2,과년도모음!$E$343:$E$1024,"건진법")</f>
        <v/>
      </c>
      <c r="Y4" s="9">
        <f>COUNTIFS(과년도모음!$B$343:$B$1024,Y$2,과년도모음!$E$343:$E$1024,"건진법")</f>
        <v/>
      </c>
      <c r="Z4" s="9">
        <f>COUNTIFS(과년도모음!$B$343:$B$1024,Z$2,과년도모음!$E$343:$E$1024,"건진법")</f>
        <v/>
      </c>
      <c r="AA4" s="9">
        <f>COUNTIFS(과년도모음!$B$343:$B$1024,AA$2,과년도모음!$E$343:$E$1024,"건진법")</f>
        <v/>
      </c>
      <c r="AB4" s="9">
        <f>COUNTIFS(과년도모음!$B$343:$B$1024,AB$2,과년도모음!$E$343:$E$1024,"건진법")</f>
        <v/>
      </c>
      <c r="AC4" s="9">
        <f>COUNTIFS(과년도모음!$B$343:$B$1024,AC$2,과년도모음!$E$343:$E$1024,"건진법")</f>
        <v/>
      </c>
      <c r="AD4" s="9">
        <f>COUNTIFS(과년도모음!$B$343:$B$1024,AD$2,과년도모음!$E$343:$E$1024,"건진법")</f>
        <v/>
      </c>
      <c r="AE4" s="9">
        <f>COUNTIFS(과년도모음!$B$343:$B$1024,AE$2,과년도모음!$E$343:$E$1024,"건진법")</f>
        <v/>
      </c>
      <c r="AF4" s="9">
        <f>COUNTIFS(과년도모음!$B$343:$B$1024,AF$2,과년도모음!$E$343:$E$1024,"건진법")</f>
        <v/>
      </c>
      <c r="AG4" s="9">
        <f>COUNTIFS(과년도모음!$B$343:$B$1024,AG$2,과년도모음!$E$343:$E$1024,"건진법")</f>
        <v/>
      </c>
      <c r="AH4" s="9">
        <f>COUNTIFS(과년도모음!$B$343:$B$1024,AH$2,과년도모음!$E$343:$E$1024,"건진법")</f>
        <v/>
      </c>
      <c r="AI4" s="9">
        <f>COUNTIFS(과년도모음!$B$343:$B$1024,AI$2,과년도모음!$E$343:$E$1024,"건진법")</f>
        <v/>
      </c>
      <c r="AJ4" s="9">
        <f>COUNTIFS(과년도모음!$B$343:$B$1024,AJ$2,과년도모음!$E$343:$E$1024,"건진법")</f>
        <v/>
      </c>
      <c r="AK4" s="9">
        <f>COUNTIFS(과년도모음!$B$343:$B$1024,AK$2,과년도모음!$E$343:$E$1024,"건진법")</f>
        <v/>
      </c>
      <c r="AL4" s="16" t="n"/>
    </row>
    <row r="5">
      <c r="A5" s="15" t="n">
        <v>3</v>
      </c>
      <c r="B5" s="111" t="inlineStr">
        <is>
          <t>시설물안전법</t>
        </is>
      </c>
      <c r="C5" s="111">
        <f>SUM(E5:AK5)</f>
        <v/>
      </c>
      <c r="D5" s="112" t="n"/>
      <c r="E5" s="113" t="n"/>
      <c r="F5" s="9">
        <f>COUNTIFS(과년도모음!$B$1:$B$1024,F$2,과년도모음!$E$1:$E$1024,"시설물안전법")</f>
        <v/>
      </c>
      <c r="G5" s="9">
        <f>COUNTIFS(과년도모음!$B$1:$B$1024,G$2,과년도모음!$E$1:$E$1024,"시설물안전법")</f>
        <v/>
      </c>
      <c r="H5" s="9">
        <f>COUNTIFS(과년도모음!$B$1:$B$1024,H$2,과년도모음!$E$1:$E$1024,"시설물안전법")</f>
        <v/>
      </c>
      <c r="I5" s="9">
        <f>COUNTIFS(과년도모음!$B$1:$B$1024,I$2,과년도모음!$E$1:$E$1024,"시설물안전법")</f>
        <v/>
      </c>
      <c r="J5" s="9">
        <f>COUNTIFS(과년도모음!$B$1:$B$1024,J$2,과년도모음!$E$1:$E$1024,"시설물안전법")</f>
        <v/>
      </c>
      <c r="K5" s="9">
        <f>COUNTIFS(과년도모음!$B$1:$B$1024,K$2,과년도모음!$E$1:$E$1024,"시설물안전법")</f>
        <v/>
      </c>
      <c r="L5" s="9">
        <f>COUNTIFS(과년도모음!$B$1:$B$1024,L$2,과년도모음!$E$1:$E$1024,"시설물안전법")</f>
        <v/>
      </c>
      <c r="M5" s="9">
        <f>COUNTIFS(과년도모음!$B$1:$B$1024,M$2,과년도모음!$E$1:$E$1024,"시설물안전법")</f>
        <v/>
      </c>
      <c r="N5" s="9">
        <f>COUNTIFS(과년도모음!$B$281:$B$1024,N$2,과년도모음!$E$281:$E$1024,"시설물안전법")</f>
        <v/>
      </c>
      <c r="O5" s="9">
        <f>COUNTIFS(과년도모음!$B$312:$B$1024,O$2,과년도모음!$E$312:$E$1024,"시설물안전법")</f>
        <v/>
      </c>
      <c r="P5" s="9">
        <f>COUNTIFS(과년도모음!$B$343:$B$1024,P$2,과년도모음!$E$343:$E$1024,"시설물안전법")</f>
        <v/>
      </c>
      <c r="Q5" s="9">
        <f>COUNTIFS(과년도모음!$B$343:$B$1024,Q$2,과년도모음!$E$343:$E$1024,"시설물안전법")</f>
        <v/>
      </c>
      <c r="R5" s="9">
        <f>COUNTIFS(과년도모음!$B$343:$B$1024,R$2,과년도모음!$E$343:$E$1024,"시설물안전법")</f>
        <v/>
      </c>
      <c r="S5" s="9">
        <f>COUNTIFS(과년도모음!$B$343:$B$1024,S$2,과년도모음!$E$343:$E$1024,"시설물안전법")</f>
        <v/>
      </c>
      <c r="T5" s="9">
        <f>COUNTIFS(과년도모음!$B$343:$B$1024,T$2,과년도모음!$E$343:$E$1024,"시설물안전법")</f>
        <v/>
      </c>
      <c r="U5" s="9">
        <f>COUNTIFS(과년도모음!$B$343:$B$1024,U$2,과년도모음!$E$343:$E$1024,"시설물안전법")</f>
        <v/>
      </c>
      <c r="V5" s="9">
        <f>COUNTIFS(과년도모음!$B$343:$B$1024,V$2,과년도모음!$E$343:$E$1024,"시설물안전법")</f>
        <v/>
      </c>
      <c r="W5" s="9">
        <f>COUNTIFS(과년도모음!$B$343:$B$1024,W$2,과년도모음!$E$343:$E$1024,"시설물안전법")</f>
        <v/>
      </c>
      <c r="X5" s="9">
        <f>COUNTIFS(과년도모음!$B$343:$B$1024,X$2,과년도모음!$E$343:$E$1024,"시설물안전법")</f>
        <v/>
      </c>
      <c r="Y5" s="9">
        <f>COUNTIFS(과년도모음!$B$343:$B$1024,Y$2,과년도모음!$E$343:$E$1024,"시설물안전법")</f>
        <v/>
      </c>
      <c r="Z5" s="9">
        <f>COUNTIFS(과년도모음!$B$343:$B$1024,Z$2,과년도모음!$E$343:$E$1024,"시설물안전법")</f>
        <v/>
      </c>
      <c r="AA5" s="9">
        <f>COUNTIFS(과년도모음!$B$343:$B$1024,AA$2,과년도모음!$E$343:$E$1024,"시설물안전법")</f>
        <v/>
      </c>
      <c r="AB5" s="9">
        <f>COUNTIFS(과년도모음!$B$343:$B$1024,AB$2,과년도모음!$E$343:$E$1024,"시설물안전법")</f>
        <v/>
      </c>
      <c r="AC5" s="9">
        <f>COUNTIFS(과년도모음!$B$343:$B$1024,AC$2,과년도모음!$E$343:$E$1024,"시설물안전법")</f>
        <v/>
      </c>
      <c r="AD5" s="9">
        <f>COUNTIFS(과년도모음!$B$343:$B$1024,AD$2,과년도모음!$E$343:$E$1024,"시설물안전법")</f>
        <v/>
      </c>
      <c r="AE5" s="9">
        <f>COUNTIFS(과년도모음!$B$343:$B$1024,AE$2,과년도모음!$E$343:$E$1024,"시설물안전법")</f>
        <v/>
      </c>
      <c r="AF5" s="9">
        <f>COUNTIFS(과년도모음!$B$343:$B$1024,AF$2,과년도모음!$E$343:$E$1024,"시설물안전법")</f>
        <v/>
      </c>
      <c r="AG5" s="9">
        <f>COUNTIFS(과년도모음!$B$343:$B$1024,AG$2,과년도모음!$E$343:$E$1024,"시설물안전법")</f>
        <v/>
      </c>
      <c r="AH5" s="9">
        <f>COUNTIFS(과년도모음!$B$343:$B$1024,AH$2,과년도모음!$E$343:$E$1024,"시설물안전법")</f>
        <v/>
      </c>
      <c r="AI5" s="9">
        <f>COUNTIFS(과년도모음!$B$343:$B$1024,AI$2,과년도모음!$E$343:$E$1024,"시설물안전법")</f>
        <v/>
      </c>
      <c r="AJ5" s="9">
        <f>COUNTIFS(과년도모음!$B$343:$B$1024,AJ$2,과년도모음!$E$343:$E$1024,"시설물안전법")</f>
        <v/>
      </c>
      <c r="AK5" s="9">
        <f>COUNTIFS(과년도모음!$B$343:$B$1024,AK$2,과년도모음!$E$343:$E$1024,"시설물안전법")</f>
        <v/>
      </c>
      <c r="AL5" s="16" t="n"/>
    </row>
    <row r="6">
      <c r="A6" s="15" t="n">
        <v>4</v>
      </c>
      <c r="B6" s="111" t="inlineStr">
        <is>
          <t>중대재해처벌법</t>
        </is>
      </c>
      <c r="C6" s="111">
        <f>SUM(E6:AK6)</f>
        <v/>
      </c>
      <c r="D6" s="112" t="n"/>
      <c r="E6" s="113" t="n"/>
      <c r="F6" s="9">
        <f>COUNTIFS(과년도모음!$B$1:$B$1024,F$2,과년도모음!$E$1:$E$1024,"중대재해처벌법")</f>
        <v/>
      </c>
      <c r="G6" s="9">
        <f>COUNTIFS(과년도모음!$B$1:$B$1024,G$2,과년도모음!$E$1:$E$1024,"중대재해처벌법")</f>
        <v/>
      </c>
      <c r="H6" s="9">
        <f>COUNTIFS(과년도모음!$B$1:$B$1024,H$2,과년도모음!$E$1:$E$1024,"중대재해처벌법")</f>
        <v/>
      </c>
      <c r="I6" s="9">
        <f>COUNTIFS(과년도모음!$B$1:$B$1024,I$2,과년도모음!$E$1:$E$1024,"중대재해처벌법")</f>
        <v/>
      </c>
      <c r="J6" s="9">
        <f>COUNTIFS(과년도모음!$B$1:$B$1024,J$2,과년도모음!$E$1:$E$1024,"중대재해처벌법")</f>
        <v/>
      </c>
      <c r="K6" s="9">
        <f>COUNTIFS(과년도모음!$B$1:$B$1024,K$2,과년도모음!$E$1:$E$1024,"중대재해처벌법")</f>
        <v/>
      </c>
      <c r="L6" s="9">
        <f>COUNTIFS(과년도모음!$B$1:$B$1024,L$2,과년도모음!$E$1:$E$1024,"중대재해처벌법")</f>
        <v/>
      </c>
      <c r="M6" s="9">
        <f>COUNTIFS(과년도모음!$B$1:$B$1024,M$2,과년도모음!$E$1:$E$1024,"중대재해처벌법")</f>
        <v/>
      </c>
      <c r="N6" s="9">
        <f>COUNTIFS(과년도모음!$B$281:$B$1024,N$2,과년도모음!$E$281:$E$1024,"중대재해처벌법")</f>
        <v/>
      </c>
      <c r="O6" s="9">
        <f>COUNTIFS(과년도모음!$B$312:$B$1024,O$2,과년도모음!$E$312:$E$1024,"중대재해처벌법")</f>
        <v/>
      </c>
      <c r="P6" s="9">
        <f>COUNTIFS(과년도모음!$B$343:$B$1024,P$2,과년도모음!$E$343:$E$1024,"중대재해처벌법")</f>
        <v/>
      </c>
      <c r="Q6" s="9">
        <f>COUNTIFS(과년도모음!$B$343:$B$1024,Q$2,과년도모음!$E$343:$E$1024,"중대재해처벌법")</f>
        <v/>
      </c>
      <c r="R6" s="9">
        <f>COUNTIFS(과년도모음!$B$343:$B$1024,R$2,과년도모음!$E$343:$E$1024,"중대재해처벌법")</f>
        <v/>
      </c>
      <c r="S6" s="9">
        <f>COUNTIFS(과년도모음!$B$343:$B$1024,S$2,과년도모음!$E$343:$E$1024,"중대재해처벌법")</f>
        <v/>
      </c>
      <c r="T6" s="9">
        <f>COUNTIFS(과년도모음!$B$343:$B$1024,T$2,과년도모음!$E$343:$E$1024,"중대재해처벌법")</f>
        <v/>
      </c>
      <c r="U6" s="9">
        <f>COUNTIFS(과년도모음!$B$343:$B$1024,U$2,과년도모음!$E$343:$E$1024,"중대재해처벌법")</f>
        <v/>
      </c>
      <c r="V6" s="9">
        <f>COUNTIFS(과년도모음!$B$343:$B$1024,V$2,과년도모음!$E$343:$E$1024,"중대재해처벌법")</f>
        <v/>
      </c>
      <c r="W6" s="9">
        <f>COUNTIFS(과년도모음!$B$343:$B$1024,W$2,과년도모음!$E$343:$E$1024,"중대재해처벌법")</f>
        <v/>
      </c>
      <c r="X6" s="9">
        <f>COUNTIFS(과년도모음!$B$343:$B$1024,X$2,과년도모음!$E$343:$E$1024,"중대재해처벌법")</f>
        <v/>
      </c>
      <c r="Y6" s="9">
        <f>COUNTIFS(과년도모음!$B$343:$B$1024,Y$2,과년도모음!$E$343:$E$1024,"중대재해처벌법")</f>
        <v/>
      </c>
      <c r="Z6" s="9">
        <f>COUNTIFS(과년도모음!$B$343:$B$1024,Z$2,과년도모음!$E$343:$E$1024,"중대재해처벌법")</f>
        <v/>
      </c>
      <c r="AA6" s="9">
        <f>COUNTIFS(과년도모음!$B$343:$B$1024,AA$2,과년도모음!$E$343:$E$1024,"중대재해처벌법")</f>
        <v/>
      </c>
      <c r="AB6" s="9">
        <f>COUNTIFS(과년도모음!$B$343:$B$1024,AB$2,과년도모음!$E$343:$E$1024,"중대재해처벌법")</f>
        <v/>
      </c>
      <c r="AC6" s="9">
        <f>COUNTIFS(과년도모음!$B$343:$B$1024,AC$2,과년도모음!$E$343:$E$1024,"중대재해처벌법")</f>
        <v/>
      </c>
      <c r="AD6" s="9">
        <f>COUNTIFS(과년도모음!$B$343:$B$1024,AD$2,과년도모음!$E$343:$E$1024,"중대재해처벌법")</f>
        <v/>
      </c>
      <c r="AE6" s="9">
        <f>COUNTIFS(과년도모음!$B$343:$B$1024,AE$2,과년도모음!$E$343:$E$1024,"중대재해처벌법")</f>
        <v/>
      </c>
      <c r="AF6" s="9">
        <f>COUNTIFS(과년도모음!$B$343:$B$1024,AF$2,과년도모음!$E$343:$E$1024,"중대재해처벌법")</f>
        <v/>
      </c>
      <c r="AG6" s="9">
        <f>COUNTIFS(과년도모음!$B$343:$B$1024,AG$2,과년도모음!$E$343:$E$1024,"중대재해처벌법")</f>
        <v/>
      </c>
      <c r="AH6" s="9">
        <f>COUNTIFS(과년도모음!$B$343:$B$1024,AH$2,과년도모음!$E$343:$E$1024,"중대재해처벌법")</f>
        <v/>
      </c>
      <c r="AI6" s="9">
        <f>COUNTIFS(과년도모음!$B$343:$B$1024,AI$2,과년도모음!$E$343:$E$1024,"중대재해처벌법")</f>
        <v/>
      </c>
      <c r="AJ6" s="9">
        <f>COUNTIFS(과년도모음!$B$343:$B$1024,AJ$2,과년도모음!$E$343:$E$1024,"중대재해처벌법")</f>
        <v/>
      </c>
      <c r="AK6" s="9">
        <f>COUNTIFS(과년도모음!$B$343:$B$1024,AK$2,과년도모음!$E$343:$E$1024,"중대재해처벌법")</f>
        <v/>
      </c>
      <c r="AL6" s="16" t="n"/>
    </row>
    <row r="7">
      <c r="A7" s="15" t="n">
        <v>5</v>
      </c>
      <c r="B7" s="111" t="inlineStr">
        <is>
          <t>지특법</t>
        </is>
      </c>
      <c r="C7" s="111">
        <f>SUM(E7:AK7)</f>
        <v/>
      </c>
      <c r="D7" s="112" t="n"/>
      <c r="E7" s="113" t="n"/>
      <c r="F7" s="9">
        <f>COUNTIFS(과년도모음!$B$1:$B$1024,F$2,과년도모음!$E$1:$E$1024,"지특법")</f>
        <v/>
      </c>
      <c r="G7" s="9">
        <f>COUNTIFS(과년도모음!$B$1:$B$1024,G$2,과년도모음!$E$1:$E$1024,"지특법")</f>
        <v/>
      </c>
      <c r="H7" s="9">
        <f>COUNTIFS(과년도모음!$B$1:$B$1024,H$2,과년도모음!$E$1:$E$1024,"지특법")</f>
        <v/>
      </c>
      <c r="I7" s="9">
        <f>COUNTIFS(과년도모음!$B$1:$B$1024,I$2,과년도모음!$E$1:$E$1024,"지특법")</f>
        <v/>
      </c>
      <c r="J7" s="9">
        <f>COUNTIFS(과년도모음!$B$1:$B$1024,J$2,과년도모음!$E$1:$E$1024,"지특법")</f>
        <v/>
      </c>
      <c r="K7" s="9">
        <f>COUNTIFS(과년도모음!$B$1:$B$1024,K$2,과년도모음!$E$1:$E$1024,"지특법")</f>
        <v/>
      </c>
      <c r="L7" s="9">
        <f>COUNTIFS(과년도모음!$B$1:$B$1024,L$2,과년도모음!$E$1:$E$1024,"지특법")</f>
        <v/>
      </c>
      <c r="M7" s="9">
        <f>COUNTIFS(과년도모음!$B$1:$B$1024,M$2,과년도모음!$E$1:$E$1024,"지특법")</f>
        <v/>
      </c>
      <c r="N7" s="9">
        <f>COUNTIFS(과년도모음!$B$281:$B$1024,N$2,과년도모음!$E$281:$E$1024,"지특법")</f>
        <v/>
      </c>
      <c r="O7" s="9">
        <f>COUNTIFS(과년도모음!$B$312:$B$1024,O$2,과년도모음!$E$312:$E$1024,"지특법")</f>
        <v/>
      </c>
      <c r="P7" s="9">
        <f>COUNTIFS(과년도모음!$B$343:$B$1024,P$2,과년도모음!$E$343:$E$1024,"지특법")</f>
        <v/>
      </c>
      <c r="Q7" s="9">
        <f>COUNTIFS(과년도모음!$B$343:$B$1024,Q$2,과년도모음!$E$343:$E$1024,"지특법")</f>
        <v/>
      </c>
      <c r="R7" s="9">
        <f>COUNTIFS(과년도모음!$B$343:$B$1024,R$2,과년도모음!$E$343:$E$1024,"지특법")</f>
        <v/>
      </c>
      <c r="S7" s="9">
        <f>COUNTIFS(과년도모음!$B$343:$B$1024,S$2,과년도모음!$E$343:$E$1024,"지특법")</f>
        <v/>
      </c>
      <c r="T7" s="9">
        <f>COUNTIFS(과년도모음!$B$343:$B$1024,T$2,과년도모음!$E$343:$E$1024,"지특법")</f>
        <v/>
      </c>
      <c r="U7" s="9">
        <f>COUNTIFS(과년도모음!$B$343:$B$1024,U$2,과년도모음!$E$343:$E$1024,"지특법")</f>
        <v/>
      </c>
      <c r="V7" s="9">
        <f>COUNTIFS(과년도모음!$B$343:$B$1024,V$2,과년도모음!$E$343:$E$1024,"지특법")</f>
        <v/>
      </c>
      <c r="W7" s="9">
        <f>COUNTIFS(과년도모음!$B$343:$B$1024,W$2,과년도모음!$E$343:$E$1024,"지특법")</f>
        <v/>
      </c>
      <c r="X7" s="9">
        <f>COUNTIFS(과년도모음!$B$343:$B$1024,X$2,과년도모음!$E$343:$E$1024,"지특법")</f>
        <v/>
      </c>
      <c r="Y7" s="9">
        <f>COUNTIFS(과년도모음!$B$343:$B$1024,Y$2,과년도모음!$E$343:$E$1024,"지특법")</f>
        <v/>
      </c>
      <c r="Z7" s="9">
        <f>COUNTIFS(과년도모음!$B$343:$B$1024,Z$2,과년도모음!$E$343:$E$1024,"지특법")</f>
        <v/>
      </c>
      <c r="AA7" s="9">
        <f>COUNTIFS(과년도모음!$B$343:$B$1024,AA$2,과년도모음!$E$343:$E$1024,"지특법")</f>
        <v/>
      </c>
      <c r="AB7" s="9">
        <f>COUNTIFS(과년도모음!$B$343:$B$1024,AB$2,과년도모음!$E$343:$E$1024,"지특법")</f>
        <v/>
      </c>
      <c r="AC7" s="9">
        <f>COUNTIFS(과년도모음!$B$343:$B$1024,AC$2,과년도모음!$E$343:$E$1024,"지특법")</f>
        <v/>
      </c>
      <c r="AD7" s="9">
        <f>COUNTIFS(과년도모음!$B$343:$B$1024,AD$2,과년도모음!$E$343:$E$1024,"지특법")</f>
        <v/>
      </c>
      <c r="AE7" s="9">
        <f>COUNTIFS(과년도모음!$B$343:$B$1024,AE$2,과년도모음!$E$343:$E$1024,"지특법")</f>
        <v/>
      </c>
      <c r="AF7" s="9">
        <f>COUNTIFS(과년도모음!$B$343:$B$1024,AF$2,과년도모음!$E$343:$E$1024,"지특법")</f>
        <v/>
      </c>
      <c r="AG7" s="9">
        <f>COUNTIFS(과년도모음!$B$343:$B$1024,AG$2,과년도모음!$E$343:$E$1024,"지특법")</f>
        <v/>
      </c>
      <c r="AH7" s="9">
        <f>COUNTIFS(과년도모음!$B$343:$B$1024,AH$2,과년도모음!$E$343:$E$1024,"지특법")</f>
        <v/>
      </c>
      <c r="AI7" s="9">
        <f>COUNTIFS(과년도모음!$B$343:$B$1024,AI$2,과년도모음!$E$343:$E$1024,"지특법")</f>
        <v/>
      </c>
      <c r="AJ7" s="9">
        <f>COUNTIFS(과년도모음!$B$343:$B$1024,AJ$2,과년도모음!$E$343:$E$1024,"지특법")</f>
        <v/>
      </c>
      <c r="AK7" s="9">
        <f>COUNTIFS(과년도모음!$B$343:$B$1024,AK$2,과년도모음!$E$343:$E$1024,"지특법")</f>
        <v/>
      </c>
      <c r="AL7" s="16" t="n"/>
    </row>
    <row r="8">
      <c r="A8" s="15" t="n">
        <v>6</v>
      </c>
      <c r="B8" s="111" t="inlineStr">
        <is>
          <t>가설공사</t>
        </is>
      </c>
      <c r="C8" s="111">
        <f>SUM(E8:AK8)</f>
        <v/>
      </c>
      <c r="D8" s="112" t="n"/>
      <c r="E8" s="113" t="n"/>
      <c r="F8" s="9">
        <f>COUNTIFS(과년도모음!$B$1:$B$1024,F$2,과년도모음!$E$1:$E$1024,"가설공사")</f>
        <v/>
      </c>
      <c r="G8" s="9">
        <f>COUNTIFS(과년도모음!$B$1:$B$1024,G$2,과년도모음!$E$1:$E$1024,"가설공사")</f>
        <v/>
      </c>
      <c r="H8" s="9">
        <f>COUNTIFS(과년도모음!$B$1:$B$1024,H$2,과년도모음!$E$1:$E$1024,"가설공사")</f>
        <v/>
      </c>
      <c r="I8" s="9">
        <f>COUNTIFS(과년도모음!$B$1:$B$1024,I$2,과년도모음!$E$1:$E$1024,"가설공사")</f>
        <v/>
      </c>
      <c r="J8" s="9">
        <f>COUNTIFS(과년도모음!$B$1:$B$1024,J$2,과년도모음!$E$1:$E$1024,"가설공사")</f>
        <v/>
      </c>
      <c r="K8" s="9">
        <f>COUNTIFS(과년도모음!$B$1:$B$1024,K$2,과년도모음!$E$1:$E$1024,"가설공사")</f>
        <v/>
      </c>
      <c r="L8" s="9">
        <f>COUNTIFS(과년도모음!$B$1:$B$1024,L$2,과년도모음!$E$1:$E$1024,"가설공사")</f>
        <v/>
      </c>
      <c r="M8" s="9">
        <f>COUNTIFS(과년도모음!$B$1:$B$1024,M$2,과년도모음!$E$1:$E$1024,"가설공사")</f>
        <v/>
      </c>
      <c r="N8" s="9">
        <f>COUNTIFS(과년도모음!$B$281:$B$1024,N$2,과년도모음!$E$281:$E$1024,"가설공사")</f>
        <v/>
      </c>
      <c r="O8" s="9">
        <f>COUNTIFS(과년도모음!$B$312:$B$1024,O$2,과년도모음!$E$312:$E$1024,"가설공사")</f>
        <v/>
      </c>
      <c r="P8" s="9">
        <f>COUNTIFS(과년도모음!$B$343:$B$1024,P$2,과년도모음!$E$343:$E$1024,"가설공사")</f>
        <v/>
      </c>
      <c r="Q8" s="9">
        <f>COUNTIFS(과년도모음!$B$343:$B$1024,Q$2,과년도모음!$E$343:$E$1024,"가설공사")</f>
        <v/>
      </c>
      <c r="R8" s="9">
        <f>COUNTIFS(과년도모음!$B$343:$B$1024,R$2,과년도모음!$E$343:$E$1024,"가설공사")</f>
        <v/>
      </c>
      <c r="S8" s="9">
        <f>COUNTIFS(과년도모음!$B$343:$B$1024,S$2,과년도모음!$E$343:$E$1024,"가설공사")</f>
        <v/>
      </c>
      <c r="T8" s="9">
        <f>COUNTIFS(과년도모음!$B$343:$B$1024,T$2,과년도모음!$E$343:$E$1024,"가설공사")</f>
        <v/>
      </c>
      <c r="U8" s="9">
        <f>COUNTIFS(과년도모음!$B$343:$B$1024,U$2,과년도모음!$E$343:$E$1024,"가설공사")</f>
        <v/>
      </c>
      <c r="V8" s="9">
        <f>COUNTIFS(과년도모음!$B$343:$B$1024,V$2,과년도모음!$E$343:$E$1024,"가설공사")</f>
        <v/>
      </c>
      <c r="W8" s="9">
        <f>COUNTIFS(과년도모음!$B$343:$B$1024,W$2,과년도모음!$E$343:$E$1024,"가설공사")</f>
        <v/>
      </c>
      <c r="X8" s="9">
        <f>COUNTIFS(과년도모음!$B$343:$B$1024,X$2,과년도모음!$E$343:$E$1024,"가설공사")</f>
        <v/>
      </c>
      <c r="Y8" s="9">
        <f>COUNTIFS(과년도모음!$B$343:$B$1024,Y$2,과년도모음!$E$343:$E$1024,"가설공사")</f>
        <v/>
      </c>
      <c r="Z8" s="9">
        <f>COUNTIFS(과년도모음!$B$343:$B$1024,Z$2,과년도모음!$E$343:$E$1024,"가설공사")</f>
        <v/>
      </c>
      <c r="AA8" s="9">
        <f>COUNTIFS(과년도모음!$B$343:$B$1024,AA$2,과년도모음!$E$343:$E$1024,"가설공사")</f>
        <v/>
      </c>
      <c r="AB8" s="9">
        <f>COUNTIFS(과년도모음!$B$343:$B$1024,AB$2,과년도모음!$E$343:$E$1024,"가설공사")</f>
        <v/>
      </c>
      <c r="AC8" s="9">
        <f>COUNTIFS(과년도모음!$B$343:$B$1024,AC$2,과년도모음!$E$343:$E$1024,"가설공사")</f>
        <v/>
      </c>
      <c r="AD8" s="9">
        <f>COUNTIFS(과년도모음!$B$343:$B$1024,AD$2,과년도모음!$E$343:$E$1024,"가설공사")</f>
        <v/>
      </c>
      <c r="AE8" s="9">
        <f>COUNTIFS(과년도모음!$B$343:$B$1024,AE$2,과년도모음!$E$343:$E$1024,"가설공사")</f>
        <v/>
      </c>
      <c r="AF8" s="9">
        <f>COUNTIFS(과년도모음!$B$343:$B$1024,AF$2,과년도모음!$E$343:$E$1024,"가설공사")</f>
        <v/>
      </c>
      <c r="AG8" s="9">
        <f>COUNTIFS(과년도모음!$B$343:$B$1024,AG$2,과년도모음!$E$343:$E$1024,"가설공사")</f>
        <v/>
      </c>
      <c r="AH8" s="9">
        <f>COUNTIFS(과년도모음!$B$343:$B$1024,AH$2,과년도모음!$E$343:$E$1024,"가설공사")</f>
        <v/>
      </c>
      <c r="AI8" s="9">
        <f>COUNTIFS(과년도모음!$B$343:$B$1024,AI$2,과년도모음!$E$343:$E$1024,"가설공사")</f>
        <v/>
      </c>
      <c r="AJ8" s="9">
        <f>COUNTIFS(과년도모음!$B$343:$B$1024,AJ$2,과년도모음!$E$343:$E$1024,"가설공사")</f>
        <v/>
      </c>
      <c r="AK8" s="9">
        <f>COUNTIFS(과년도모음!$B$343:$B$1024,AK$2,과년도모음!$E$343:$E$1024,"가설공사")</f>
        <v/>
      </c>
      <c r="AL8" s="16" t="n"/>
    </row>
    <row r="9">
      <c r="A9" s="15" t="n">
        <v>7</v>
      </c>
      <c r="B9" s="111" t="inlineStr">
        <is>
          <t>건설기계</t>
        </is>
      </c>
      <c r="C9" s="111">
        <f>SUM(E9:AK9)</f>
        <v/>
      </c>
      <c r="D9" s="112" t="n"/>
      <c r="E9" s="113" t="n"/>
      <c r="F9" s="9">
        <f>COUNTIFS(과년도모음!$B$1:$B$1024,F$2,과년도모음!$E$1:$E$1024,"건설기계")</f>
        <v/>
      </c>
      <c r="G9" s="9">
        <f>COUNTIFS(과년도모음!$B$1:$B$1024,G$2,과년도모음!$E$1:$E$1024,"건설기계")</f>
        <v/>
      </c>
      <c r="H9" s="9">
        <f>COUNTIFS(과년도모음!$B$1:$B$1024,H$2,과년도모음!$E$1:$E$1024,"건설기계")</f>
        <v/>
      </c>
      <c r="I9" s="9">
        <f>COUNTIFS(과년도모음!$B$1:$B$1024,I$2,과년도모음!$E$1:$E$1024,"건설기계")</f>
        <v/>
      </c>
      <c r="J9" s="9">
        <f>COUNTIFS(과년도모음!$B$1:$B$1024,J$2,과년도모음!$E$1:$E$1024,"건설기계")</f>
        <v/>
      </c>
      <c r="K9" s="9">
        <f>COUNTIFS(과년도모음!$B$1:$B$1024,K$2,과년도모음!$E$1:$E$1024,"건설기계")</f>
        <v/>
      </c>
      <c r="L9" s="9">
        <f>COUNTIFS(과년도모음!$B$1:$B$1024,L$2,과년도모음!$E$1:$E$1024,"건설기계")</f>
        <v/>
      </c>
      <c r="M9" s="9">
        <f>COUNTIFS(과년도모음!$B$1:$B$1024,M$2,과년도모음!$E$1:$E$1024,"건설기계")</f>
        <v/>
      </c>
      <c r="N9" s="9">
        <f>COUNTIFS(과년도모음!$B$281:$B$1024,N$2,과년도모음!$E$281:$E$1024,"건설기계")</f>
        <v/>
      </c>
      <c r="O9" s="9">
        <f>COUNTIFS(과년도모음!$B$312:$B$1024,O$2,과년도모음!$E$312:$E$1024,"건설기계")</f>
        <v/>
      </c>
      <c r="P9" s="9">
        <f>COUNTIFS(과년도모음!$B$343:$B$1024,P$2,과년도모음!$E$343:$E$1024,"건설기계")</f>
        <v/>
      </c>
      <c r="Q9" s="9">
        <f>COUNTIFS(과년도모음!$B$343:$B$1024,Q$2,과년도모음!$E$343:$E$1024,"건설기계")</f>
        <v/>
      </c>
      <c r="R9" s="9">
        <f>COUNTIFS(과년도모음!$B$343:$B$1024,R$2,과년도모음!$E$343:$E$1024,"건설기계")</f>
        <v/>
      </c>
      <c r="S9" s="9">
        <f>COUNTIFS(과년도모음!$B$343:$B$1024,S$2,과년도모음!$E$343:$E$1024,"건설기계")</f>
        <v/>
      </c>
      <c r="T9" s="9">
        <f>COUNTIFS(과년도모음!$B$343:$B$1024,T$2,과년도모음!$E$343:$E$1024,"건설기계")</f>
        <v/>
      </c>
      <c r="U9" s="9">
        <f>COUNTIFS(과년도모음!$B$343:$B$1024,U$2,과년도모음!$E$343:$E$1024,"건설기계")</f>
        <v/>
      </c>
      <c r="V9" s="9">
        <f>COUNTIFS(과년도모음!$B$343:$B$1024,V$2,과년도모음!$E$343:$E$1024,"건설기계")</f>
        <v/>
      </c>
      <c r="W9" s="9">
        <f>COUNTIFS(과년도모음!$B$343:$B$1024,W$2,과년도모음!$E$343:$E$1024,"건설기계")</f>
        <v/>
      </c>
      <c r="X9" s="9">
        <f>COUNTIFS(과년도모음!$B$343:$B$1024,X$2,과년도모음!$E$343:$E$1024,"건설기계")</f>
        <v/>
      </c>
      <c r="Y9" s="9">
        <f>COUNTIFS(과년도모음!$B$343:$B$1024,Y$2,과년도모음!$E$343:$E$1024,"건설기계")</f>
        <v/>
      </c>
      <c r="Z9" s="9">
        <f>COUNTIFS(과년도모음!$B$343:$B$1024,Z$2,과년도모음!$E$343:$E$1024,"건설기계")</f>
        <v/>
      </c>
      <c r="AA9" s="9">
        <f>COUNTIFS(과년도모음!$B$343:$B$1024,AA$2,과년도모음!$E$343:$E$1024,"건설기계")</f>
        <v/>
      </c>
      <c r="AB9" s="9">
        <f>COUNTIFS(과년도모음!$B$343:$B$1024,AB$2,과년도모음!$E$343:$E$1024,"건설기계")</f>
        <v/>
      </c>
      <c r="AC9" s="9">
        <f>COUNTIFS(과년도모음!$B$343:$B$1024,AC$2,과년도모음!$E$343:$E$1024,"건설기계")</f>
        <v/>
      </c>
      <c r="AD9" s="9">
        <f>COUNTIFS(과년도모음!$B$343:$B$1024,AD$2,과년도모음!$E$343:$E$1024,"건설기계")</f>
        <v/>
      </c>
      <c r="AE9" s="9">
        <f>COUNTIFS(과년도모음!$B$343:$B$1024,AE$2,과년도모음!$E$343:$E$1024,"건설기계")</f>
        <v/>
      </c>
      <c r="AF9" s="9">
        <f>COUNTIFS(과년도모음!$B$343:$B$1024,AF$2,과년도모음!$E$343:$E$1024,"건설기계")</f>
        <v/>
      </c>
      <c r="AG9" s="9">
        <f>COUNTIFS(과년도모음!$B$343:$B$1024,AG$2,과년도모음!$E$343:$E$1024,"건설기계")</f>
        <v/>
      </c>
      <c r="AH9" s="9">
        <f>COUNTIFS(과년도모음!$B$343:$B$1024,AH$2,과년도모음!$E$343:$E$1024,"건설기계")</f>
        <v/>
      </c>
      <c r="AI9" s="9">
        <f>COUNTIFS(과년도모음!$B$343:$B$1024,AI$2,과년도모음!$E$343:$E$1024,"건설기계")</f>
        <v/>
      </c>
      <c r="AJ9" s="9">
        <f>COUNTIFS(과년도모음!$B$343:$B$1024,AJ$2,과년도모음!$E$343:$E$1024,"건설기계")</f>
        <v/>
      </c>
      <c r="AK9" s="9">
        <f>COUNTIFS(과년도모음!$B$343:$B$1024,AK$2,과년도모음!$E$343:$E$1024,"건설기계")</f>
        <v/>
      </c>
      <c r="AL9" s="16" t="n"/>
    </row>
    <row r="10">
      <c r="A10" s="15" t="n">
        <v>8</v>
      </c>
      <c r="B10" s="111" t="inlineStr">
        <is>
          <t>안전관리론</t>
        </is>
      </c>
      <c r="C10" s="111">
        <f>SUM(E10:AK10)</f>
        <v/>
      </c>
      <c r="D10" s="112" t="n"/>
      <c r="E10" s="113" t="n"/>
      <c r="F10" s="9">
        <f>COUNTIFS(과년도모음!$B$1:$B$1024,F$2,과년도모음!$E$1:$E$1024,"안전관리론")</f>
        <v/>
      </c>
      <c r="G10" s="9">
        <f>COUNTIFS(과년도모음!$B$1:$B$1024,G$2,과년도모음!$E$1:$E$1024,"안전관리론")</f>
        <v/>
      </c>
      <c r="H10" s="9">
        <f>COUNTIFS(과년도모음!$B$1:$B$1024,H$2,과년도모음!$E$1:$E$1024,"안전관리론")</f>
        <v/>
      </c>
      <c r="I10" s="9">
        <f>COUNTIFS(과년도모음!$B$1:$B$1024,I$2,과년도모음!$E$1:$E$1024,"안전관리론")</f>
        <v/>
      </c>
      <c r="J10" s="9">
        <f>COUNTIFS(과년도모음!$B$1:$B$1024,J$2,과년도모음!$E$1:$E$1024,"안전관리론")</f>
        <v/>
      </c>
      <c r="K10" s="9">
        <f>COUNTIFS(과년도모음!$B$1:$B$1024,K$2,과년도모음!$E$1:$E$1024,"안전관리론")</f>
        <v/>
      </c>
      <c r="L10" s="9">
        <f>COUNTIFS(과년도모음!$B$1:$B$1024,L$2,과년도모음!$E$1:$E$1024,"안전관리론")</f>
        <v/>
      </c>
      <c r="M10" s="9">
        <f>COUNTIFS(과년도모음!$B$1:$B$1024,M$2,과년도모음!$E$1:$E$1024,"안전관리론")</f>
        <v/>
      </c>
      <c r="N10" s="9">
        <f>COUNTIFS(과년도모음!$B$281:$B$1024,N$2,과년도모음!$E$281:$E$1024,"안전관리론")</f>
        <v/>
      </c>
      <c r="O10" s="9">
        <f>COUNTIFS(과년도모음!$B$312:$B$1024,O$2,과년도모음!$E$312:$E$1024,"안전관리론")</f>
        <v/>
      </c>
      <c r="P10" s="9">
        <f>COUNTIFS(과년도모음!$B$343:$B$1024,P$2,과년도모음!$E$343:$E$1024,"안전관리론")</f>
        <v/>
      </c>
      <c r="Q10" s="9">
        <f>COUNTIFS(과년도모음!$B$343:$B$1024,Q$2,과년도모음!$E$343:$E$1024,"안전관리론")</f>
        <v/>
      </c>
      <c r="R10" s="9">
        <f>COUNTIFS(과년도모음!$B$343:$B$1024,R$2,과년도모음!$E$343:$E$1024,"안전관리론")</f>
        <v/>
      </c>
      <c r="S10" s="9">
        <f>COUNTIFS(과년도모음!$B$343:$B$1024,S$2,과년도모음!$E$343:$E$1024,"안전관리론")</f>
        <v/>
      </c>
      <c r="T10" s="9">
        <f>COUNTIFS(과년도모음!$B$343:$B$1024,T$2,과년도모음!$E$343:$E$1024,"안전관리론")</f>
        <v/>
      </c>
      <c r="U10" s="9">
        <f>COUNTIFS(과년도모음!$B$343:$B$1024,U$2,과년도모음!$E$343:$E$1024,"안전관리론")</f>
        <v/>
      </c>
      <c r="V10" s="9">
        <f>COUNTIFS(과년도모음!$B$343:$B$1024,V$2,과년도모음!$E$343:$E$1024,"안전관리론")</f>
        <v/>
      </c>
      <c r="W10" s="9">
        <f>COUNTIFS(과년도모음!$B$343:$B$1024,W$2,과년도모음!$E$343:$E$1024,"안전관리론")</f>
        <v/>
      </c>
      <c r="X10" s="9">
        <f>COUNTIFS(과년도모음!$B$343:$B$1024,X$2,과년도모음!$E$343:$E$1024,"안전관리론")</f>
        <v/>
      </c>
      <c r="Y10" s="9">
        <f>COUNTIFS(과년도모음!$B$343:$B$1024,Y$2,과년도모음!$E$343:$E$1024,"안전관리론")</f>
        <v/>
      </c>
      <c r="Z10" s="9">
        <f>COUNTIFS(과년도모음!$B$343:$B$1024,Z$2,과년도모음!$E$343:$E$1024,"안전관리론")</f>
        <v/>
      </c>
      <c r="AA10" s="9">
        <f>COUNTIFS(과년도모음!$B$343:$B$1024,AA$2,과년도모음!$E$343:$E$1024,"안전관리론")</f>
        <v/>
      </c>
      <c r="AB10" s="9">
        <f>COUNTIFS(과년도모음!$B$343:$B$1024,AB$2,과년도모음!$E$343:$E$1024,"안전관리론")</f>
        <v/>
      </c>
      <c r="AC10" s="9">
        <f>COUNTIFS(과년도모음!$B$343:$B$1024,AC$2,과년도모음!$E$343:$E$1024,"안전관리론")</f>
        <v/>
      </c>
      <c r="AD10" s="9">
        <f>COUNTIFS(과년도모음!$B$343:$B$1024,AD$2,과년도모음!$E$343:$E$1024,"안전관리론")</f>
        <v/>
      </c>
      <c r="AE10" s="9">
        <f>COUNTIFS(과년도모음!$B$343:$B$1024,AE$2,과년도모음!$E$343:$E$1024,"안전관리론")</f>
        <v/>
      </c>
      <c r="AF10" s="9">
        <f>COUNTIFS(과년도모음!$B$343:$B$1024,AF$2,과년도모음!$E$343:$E$1024,"안전관리론")</f>
        <v/>
      </c>
      <c r="AG10" s="9">
        <f>COUNTIFS(과년도모음!$B$343:$B$1024,AG$2,과년도모음!$E$343:$E$1024,"안전관리론")</f>
        <v/>
      </c>
      <c r="AH10" s="9">
        <f>COUNTIFS(과년도모음!$B$343:$B$1024,AH$2,과년도모음!$E$343:$E$1024,"안전관리론")</f>
        <v/>
      </c>
      <c r="AI10" s="9">
        <f>COUNTIFS(과년도모음!$B$343:$B$1024,AI$2,과년도모음!$E$343:$E$1024,"안전관리론")</f>
        <v/>
      </c>
      <c r="AJ10" s="9">
        <f>COUNTIFS(과년도모음!$B$343:$B$1024,AJ$2,과년도모음!$E$343:$E$1024,"안전관리론")</f>
        <v/>
      </c>
      <c r="AK10" s="9">
        <f>COUNTIFS(과년도모음!$B$343:$B$1024,AK$2,과년도모음!$E$343:$E$1024,"안전관리론")</f>
        <v/>
      </c>
      <c r="AL10" s="16" t="n"/>
    </row>
    <row r="11">
      <c r="A11" s="15" t="n">
        <v>9</v>
      </c>
      <c r="B11" s="111" t="inlineStr">
        <is>
          <t>재해유형</t>
        </is>
      </c>
      <c r="C11" s="111">
        <f>SUM(E11:AK11)</f>
        <v/>
      </c>
      <c r="D11" s="112" t="n"/>
      <c r="E11" s="113" t="n"/>
      <c r="F11" s="9">
        <f>COUNTIFS(과년도모음!$B$1:$B$1024,F$2,과년도모음!$E$1:$E$1024,"재해유형")</f>
        <v/>
      </c>
      <c r="G11" s="9">
        <f>COUNTIFS(과년도모음!$B$1:$B$1024,G$2,과년도모음!$E$1:$E$1024,"재해유형")</f>
        <v/>
      </c>
      <c r="H11" s="9">
        <f>COUNTIFS(과년도모음!$B$1:$B$1024,H$2,과년도모음!$E$1:$E$1024,"재해유형")</f>
        <v/>
      </c>
      <c r="I11" s="9">
        <f>COUNTIFS(과년도모음!$B$1:$B$1024,I$2,과년도모음!$E$1:$E$1024,"재해유형")</f>
        <v/>
      </c>
      <c r="J11" s="9">
        <f>COUNTIFS(과년도모음!$B$1:$B$1024,J$2,과년도모음!$E$1:$E$1024,"재해유형")</f>
        <v/>
      </c>
      <c r="K11" s="9">
        <f>COUNTIFS(과년도모음!$B$1:$B$1024,K$2,과년도모음!$E$1:$E$1024,"재해유형")</f>
        <v/>
      </c>
      <c r="L11" s="9">
        <f>COUNTIFS(과년도모음!$B$1:$B$1024,L$2,과년도모음!$E$1:$E$1024,"재해유형")</f>
        <v/>
      </c>
      <c r="M11" s="9">
        <f>COUNTIFS(과년도모음!$B$1:$B$1024,M$2,과년도모음!$E$1:$E$1024,"재해유형")</f>
        <v/>
      </c>
      <c r="N11" s="9">
        <f>COUNTIFS(과년도모음!$B$281:$B$1024,N$2,과년도모음!$E$281:$E$1024,"재해유형")</f>
        <v/>
      </c>
      <c r="O11" s="9">
        <f>COUNTIFS(과년도모음!$B$312:$B$1024,O$2,과년도모음!$E$312:$E$1024,"재해유형")</f>
        <v/>
      </c>
      <c r="P11" s="9">
        <f>COUNTIFS(과년도모음!$B$343:$B$1024,P$2,과년도모음!$E$343:$E$1024,"재해유형")</f>
        <v/>
      </c>
      <c r="Q11" s="9">
        <f>COUNTIFS(과년도모음!$B$343:$B$1024,Q$2,과년도모음!$E$343:$E$1024,"재해유형")</f>
        <v/>
      </c>
      <c r="R11" s="9">
        <f>COUNTIFS(과년도모음!$B$343:$B$1024,R$2,과년도모음!$E$343:$E$1024,"재해유형")</f>
        <v/>
      </c>
      <c r="S11" s="9">
        <f>COUNTIFS(과년도모음!$B$343:$B$1024,S$2,과년도모음!$E$343:$E$1024,"재해유형")</f>
        <v/>
      </c>
      <c r="T11" s="9">
        <f>COUNTIFS(과년도모음!$B$343:$B$1024,T$2,과년도모음!$E$343:$E$1024,"재해유형")</f>
        <v/>
      </c>
      <c r="U11" s="9">
        <f>COUNTIFS(과년도모음!$B$343:$B$1024,U$2,과년도모음!$E$343:$E$1024,"재해유형")</f>
        <v/>
      </c>
      <c r="V11" s="9">
        <f>COUNTIFS(과년도모음!$B$343:$B$1024,V$2,과년도모음!$E$343:$E$1024,"재해유형")</f>
        <v/>
      </c>
      <c r="W11" s="9">
        <f>COUNTIFS(과년도모음!$B$343:$B$1024,W$2,과년도모음!$E$343:$E$1024,"재해유형")</f>
        <v/>
      </c>
      <c r="X11" s="9">
        <f>COUNTIFS(과년도모음!$B$343:$B$1024,X$2,과년도모음!$E$343:$E$1024,"재해유형")</f>
        <v/>
      </c>
      <c r="Y11" s="9">
        <f>COUNTIFS(과년도모음!$B$343:$B$1024,Y$2,과년도모음!$E$343:$E$1024,"재해유형")</f>
        <v/>
      </c>
      <c r="Z11" s="9">
        <f>COUNTIFS(과년도모음!$B$343:$B$1024,Z$2,과년도모음!$E$343:$E$1024,"재해유형")</f>
        <v/>
      </c>
      <c r="AA11" s="9">
        <f>COUNTIFS(과년도모음!$B$343:$B$1024,AA$2,과년도모음!$E$343:$E$1024,"재해유형")</f>
        <v/>
      </c>
      <c r="AB11" s="9">
        <f>COUNTIFS(과년도모음!$B$343:$B$1024,AB$2,과년도모음!$E$343:$E$1024,"재해유형")</f>
        <v/>
      </c>
      <c r="AC11" s="9">
        <f>COUNTIFS(과년도모음!$B$343:$B$1024,AC$2,과년도모음!$E$343:$E$1024,"재해유형")</f>
        <v/>
      </c>
      <c r="AD11" s="9">
        <f>COUNTIFS(과년도모음!$B$343:$B$1024,AD$2,과년도모음!$E$343:$E$1024,"재해유형")</f>
        <v/>
      </c>
      <c r="AE11" s="9">
        <f>COUNTIFS(과년도모음!$B$343:$B$1024,AE$2,과년도모음!$E$343:$E$1024,"재해유형")</f>
        <v/>
      </c>
      <c r="AF11" s="9">
        <f>COUNTIFS(과년도모음!$B$343:$B$1024,AF$2,과년도모음!$E$343:$E$1024,"재해유형")</f>
        <v/>
      </c>
      <c r="AG11" s="9">
        <f>COUNTIFS(과년도모음!$B$343:$B$1024,AG$2,과년도모음!$E$343:$E$1024,"재해유형")</f>
        <v/>
      </c>
      <c r="AH11" s="9">
        <f>COUNTIFS(과년도모음!$B$343:$B$1024,AH$2,과년도모음!$E$343:$E$1024,"재해유형")</f>
        <v/>
      </c>
      <c r="AI11" s="9">
        <f>COUNTIFS(과년도모음!$B$343:$B$1024,AI$2,과년도모음!$E$343:$E$1024,"재해유형")</f>
        <v/>
      </c>
      <c r="AJ11" s="9">
        <f>COUNTIFS(과년도모음!$B$343:$B$1024,AJ$2,과년도모음!$E$343:$E$1024,"재해유형")</f>
        <v/>
      </c>
      <c r="AK11" s="9">
        <f>COUNTIFS(과년도모음!$B$343:$B$1024,AK$2,과년도모음!$E$343:$E$1024,"재해유형")</f>
        <v/>
      </c>
      <c r="AL11" s="16" t="n"/>
    </row>
    <row r="12">
      <c r="A12" s="15" t="n">
        <v>10</v>
      </c>
      <c r="B12" s="111" t="inlineStr">
        <is>
          <t>계절재해</t>
        </is>
      </c>
      <c r="C12" s="111">
        <f>SUM(E12:AK12)</f>
        <v/>
      </c>
      <c r="D12" s="112" t="n"/>
      <c r="E12" s="113" t="n"/>
      <c r="F12" s="9">
        <f>COUNTIFS(과년도모음!$B$1:$B$1024,F$2,과년도모음!$E$1:$E$1024,"계절재해")</f>
        <v/>
      </c>
      <c r="G12" s="9">
        <f>COUNTIFS(과년도모음!$B$1:$B$1024,G$2,과년도모음!$E$1:$E$1024,"계절재해")</f>
        <v/>
      </c>
      <c r="H12" s="9">
        <f>COUNTIFS(과년도모음!$B$1:$B$1024,H$2,과년도모음!$E$1:$E$1024,"계절재해")</f>
        <v/>
      </c>
      <c r="I12" s="9">
        <f>COUNTIFS(과년도모음!$B$1:$B$1024,I$2,과년도모음!$E$1:$E$1024,"계절재해")</f>
        <v/>
      </c>
      <c r="J12" s="9">
        <f>COUNTIFS(과년도모음!$B$1:$B$1024,J$2,과년도모음!$E$1:$E$1024,"계절재해")</f>
        <v/>
      </c>
      <c r="K12" s="9">
        <f>COUNTIFS(과년도모음!$B$1:$B$1024,K$2,과년도모음!$E$1:$E$1024,"계절재해")</f>
        <v/>
      </c>
      <c r="L12" s="9">
        <f>COUNTIFS(과년도모음!$B$1:$B$1024,L$2,과년도모음!$E$1:$E$1024,"계절재해")</f>
        <v/>
      </c>
      <c r="M12" s="9">
        <f>COUNTIFS(과년도모음!$B$1:$B$1024,M$2,과년도모음!$E$1:$E$1024,"계절재해")</f>
        <v/>
      </c>
      <c r="N12" s="9">
        <f>COUNTIFS(과년도모음!$B$281:$B$1024,N$2,과년도모음!$E$281:$E$1024,"계절재해")</f>
        <v/>
      </c>
      <c r="O12" s="9">
        <f>COUNTIFS(과년도모음!$B$312:$B$1024,O$2,과년도모음!$E$312:$E$1024,"계절재해")</f>
        <v/>
      </c>
      <c r="P12" s="9">
        <f>COUNTIFS(과년도모음!$B$343:$B$1024,P$2,과년도모음!$E$343:$E$1024,"계절재해")</f>
        <v/>
      </c>
      <c r="Q12" s="9">
        <f>COUNTIFS(과년도모음!$B$343:$B$1024,Q$2,과년도모음!$E$343:$E$1024,"계절재해")</f>
        <v/>
      </c>
      <c r="R12" s="9">
        <f>COUNTIFS(과년도모음!$B$343:$B$1024,R$2,과년도모음!$E$343:$E$1024,"계절재해")</f>
        <v/>
      </c>
      <c r="S12" s="9">
        <f>COUNTIFS(과년도모음!$B$343:$B$1024,S$2,과년도모음!$E$343:$E$1024,"계절재해")</f>
        <v/>
      </c>
      <c r="T12" s="9">
        <f>COUNTIFS(과년도모음!$B$343:$B$1024,T$2,과년도모음!$E$343:$E$1024,"계절재해")</f>
        <v/>
      </c>
      <c r="U12" s="9">
        <f>COUNTIFS(과년도모음!$B$343:$B$1024,U$2,과년도모음!$E$343:$E$1024,"계절재해")</f>
        <v/>
      </c>
      <c r="V12" s="9">
        <f>COUNTIFS(과년도모음!$B$343:$B$1024,V$2,과년도모음!$E$343:$E$1024,"계절재해")</f>
        <v/>
      </c>
      <c r="W12" s="9">
        <f>COUNTIFS(과년도모음!$B$343:$B$1024,W$2,과년도모음!$E$343:$E$1024,"계절재해")</f>
        <v/>
      </c>
      <c r="X12" s="9">
        <f>COUNTIFS(과년도모음!$B$343:$B$1024,X$2,과년도모음!$E$343:$E$1024,"계절재해")</f>
        <v/>
      </c>
      <c r="Y12" s="9">
        <f>COUNTIFS(과년도모음!$B$343:$B$1024,Y$2,과년도모음!$E$343:$E$1024,"계절재해")</f>
        <v/>
      </c>
      <c r="Z12" s="9">
        <f>COUNTIFS(과년도모음!$B$343:$B$1024,Z$2,과년도모음!$E$343:$E$1024,"계절재해")</f>
        <v/>
      </c>
      <c r="AA12" s="9">
        <f>COUNTIFS(과년도모음!$B$343:$B$1024,AA$2,과년도모음!$E$343:$E$1024,"계절재해")</f>
        <v/>
      </c>
      <c r="AB12" s="9">
        <f>COUNTIFS(과년도모음!$B$343:$B$1024,AB$2,과년도모음!$E$343:$E$1024,"계절재해")</f>
        <v/>
      </c>
      <c r="AC12" s="9">
        <f>COUNTIFS(과년도모음!$B$343:$B$1024,AC$2,과년도모음!$E$343:$E$1024,"계절재해")</f>
        <v/>
      </c>
      <c r="AD12" s="9">
        <f>COUNTIFS(과년도모음!$B$343:$B$1024,AD$2,과년도모음!$E$343:$E$1024,"계절재해")</f>
        <v/>
      </c>
      <c r="AE12" s="9">
        <f>COUNTIFS(과년도모음!$B$343:$B$1024,AE$2,과년도모음!$E$343:$E$1024,"계절재해")</f>
        <v/>
      </c>
      <c r="AF12" s="9">
        <f>COUNTIFS(과년도모음!$B$343:$B$1024,AF$2,과년도모음!$E$343:$E$1024,"계절재해")</f>
        <v/>
      </c>
      <c r="AG12" s="9">
        <f>COUNTIFS(과년도모음!$B$343:$B$1024,AG$2,과년도모음!$E$343:$E$1024,"계절재해")</f>
        <v/>
      </c>
      <c r="AH12" s="9">
        <f>COUNTIFS(과년도모음!$B$343:$B$1024,AH$2,과년도모음!$E$343:$E$1024,"계절재해")</f>
        <v/>
      </c>
      <c r="AI12" s="9">
        <f>COUNTIFS(과년도모음!$B$343:$B$1024,AI$2,과년도모음!$E$343:$E$1024,"계절재해")</f>
        <v/>
      </c>
      <c r="AJ12" s="9">
        <f>COUNTIFS(과년도모음!$B$343:$B$1024,AJ$2,과년도모음!$E$343:$E$1024,"계절재해")</f>
        <v/>
      </c>
      <c r="AK12" s="9">
        <f>COUNTIFS(과년도모음!$B$343:$B$1024,AK$2,과년도모음!$E$343:$E$1024,"계절재해")</f>
        <v/>
      </c>
      <c r="AL12" s="16" t="n"/>
    </row>
    <row r="13">
      <c r="A13" s="15" t="n">
        <v>11</v>
      </c>
      <c r="B13" s="12" t="inlineStr">
        <is>
          <t>콘크리트(거푸집 동바리 철근 포함)</t>
        </is>
      </c>
      <c r="C13" s="111">
        <f>SUM(E13:AK13)</f>
        <v/>
      </c>
      <c r="D13" s="112" t="n"/>
      <c r="E13" s="113" t="n"/>
      <c r="F13" s="9">
        <f>COUNTIFS(과년도모음!$B$1:$B$1024,F$2,과년도모음!$E$1:$E$1024,"콘크리트")</f>
        <v/>
      </c>
      <c r="G13" s="9">
        <f>COUNTIFS(과년도모음!$B$1:$B$1024,G$2,과년도모음!$E$1:$E$1024,"콘크리트")</f>
        <v/>
      </c>
      <c r="H13" s="9">
        <f>COUNTIFS(과년도모음!$B$1:$B$1024,H$2,과년도모음!$E$1:$E$1024,"콘크리트")</f>
        <v/>
      </c>
      <c r="I13" s="9">
        <f>COUNTIFS(과년도모음!$B$1:$B$1024,I$2,과년도모음!$E$1:$E$1024,"콘크리트")</f>
        <v/>
      </c>
      <c r="J13" s="9">
        <f>COUNTIFS(과년도모음!$B$1:$B$1024,J$2,과년도모음!$E$1:$E$1024,"콘크리트")</f>
        <v/>
      </c>
      <c r="K13" s="9">
        <f>COUNTIFS(과년도모음!$B$1:$B$1024,K$2,과년도모음!$E$1:$E$1024,"콘크리트")</f>
        <v/>
      </c>
      <c r="L13" s="9">
        <f>COUNTIFS(과년도모음!$B$1:$B$1024,L$2,과년도모음!$E$1:$E$1024,"콘크리트")</f>
        <v/>
      </c>
      <c r="M13" s="9">
        <f>COUNTIFS(과년도모음!$B$1:$B$1024,M$2,과년도모음!$E$1:$E$1024,"콘크리트")</f>
        <v/>
      </c>
      <c r="N13" s="9">
        <f>COUNTIFS(과년도모음!$B$281:$B$1024,N$2,과년도모음!$E$281:$E$1024,"콘크리트")</f>
        <v/>
      </c>
      <c r="O13" s="9">
        <f>COUNTIFS(과년도모음!$B$312:$B$1024,O$2,과년도모음!$E$312:$E$1024,"콘크리트")</f>
        <v/>
      </c>
      <c r="P13" s="9">
        <f>COUNTIFS(과년도모음!$B$343:$B$1024,P$2,과년도모음!$E$343:$E$1024,"콘크리트")</f>
        <v/>
      </c>
      <c r="Q13" s="9">
        <f>COUNTIFS(과년도모음!$B$343:$B$1024,Q$2,과년도모음!$E$343:$E$1024,"콘크리트")</f>
        <v/>
      </c>
      <c r="R13" s="9">
        <f>COUNTIFS(과년도모음!$B$343:$B$1024,R$2,과년도모음!$E$343:$E$1024,"콘크리트")</f>
        <v/>
      </c>
      <c r="S13" s="9">
        <f>COUNTIFS(과년도모음!$B$343:$B$1024,S$2,과년도모음!$E$343:$E$1024,"콘크리트")</f>
        <v/>
      </c>
      <c r="T13" s="9">
        <f>COUNTIFS(과년도모음!$B$343:$B$1024,T$2,과년도모음!$E$343:$E$1024,"콘크리트")</f>
        <v/>
      </c>
      <c r="U13" s="9">
        <f>COUNTIFS(과년도모음!$B$343:$B$1024,U$2,과년도모음!$E$343:$E$1024,"콘크리트")</f>
        <v/>
      </c>
      <c r="V13" s="9">
        <f>COUNTIFS(과년도모음!$B$343:$B$1024,V$2,과년도모음!$E$343:$E$1024,"콘크리트")</f>
        <v/>
      </c>
      <c r="W13" s="9">
        <f>COUNTIFS(과년도모음!$B$343:$B$1024,W$2,과년도모음!$E$343:$E$1024,"콘크리트")</f>
        <v/>
      </c>
      <c r="X13" s="9">
        <f>COUNTIFS(과년도모음!$B$343:$B$1024,X$2,과년도모음!$E$343:$E$1024,"콘크리트")</f>
        <v/>
      </c>
      <c r="Y13" s="9">
        <f>COUNTIFS(과년도모음!$B$343:$B$1024,Y$2,과년도모음!$E$343:$E$1024,"콘크리트")</f>
        <v/>
      </c>
      <c r="Z13" s="9">
        <f>COUNTIFS(과년도모음!$B$343:$B$1024,Z$2,과년도모음!$E$343:$E$1024,"콘크리트")</f>
        <v/>
      </c>
      <c r="AA13" s="9">
        <f>COUNTIFS(과년도모음!$B$343:$B$1024,AA$2,과년도모음!$E$343:$E$1024,"콘크리트")</f>
        <v/>
      </c>
      <c r="AB13" s="9">
        <f>COUNTIFS(과년도모음!$B$343:$B$1024,AB$2,과년도모음!$E$343:$E$1024,"콘크리트")</f>
        <v/>
      </c>
      <c r="AC13" s="9">
        <f>COUNTIFS(과년도모음!$B$343:$B$1024,AC$2,과년도모음!$E$343:$E$1024,"콘크리트")</f>
        <v/>
      </c>
      <c r="AD13" s="9">
        <f>COUNTIFS(과년도모음!$B$343:$B$1024,AD$2,과년도모음!$E$343:$E$1024,"콘크리트")</f>
        <v/>
      </c>
      <c r="AE13" s="9">
        <f>COUNTIFS(과년도모음!$B$343:$B$1024,AE$2,과년도모음!$E$343:$E$1024,"콘크리트")</f>
        <v/>
      </c>
      <c r="AF13" s="9">
        <f>COUNTIFS(과년도모음!$B$343:$B$1024,AF$2,과년도모음!$E$343:$E$1024,"콘크리트")</f>
        <v/>
      </c>
      <c r="AG13" s="9">
        <f>COUNTIFS(과년도모음!$B$343:$B$1024,AG$2,과년도모음!$E$343:$E$1024,"콘크리트")</f>
        <v/>
      </c>
      <c r="AH13" s="9">
        <f>COUNTIFS(과년도모음!$B$343:$B$1024,AH$2,과년도모음!$E$343:$E$1024,"콘크리트")</f>
        <v/>
      </c>
      <c r="AI13" s="9">
        <f>COUNTIFS(과년도모음!$B$343:$B$1024,AI$2,과년도모음!$E$343:$E$1024,"콘크리트")</f>
        <v/>
      </c>
      <c r="AJ13" s="9">
        <f>COUNTIFS(과년도모음!$B$343:$B$1024,AJ$2,과년도모음!$E$343:$E$1024,"콘크리트")</f>
        <v/>
      </c>
      <c r="AK13" s="9">
        <f>COUNTIFS(과년도모음!$B$343:$B$1024,AK$2,과년도모음!$E$343:$E$1024,"콘크리트")</f>
        <v/>
      </c>
      <c r="AL13" s="16" t="n"/>
    </row>
    <row r="14">
      <c r="A14" s="15" t="n">
        <v>12</v>
      </c>
      <c r="B14" s="111" t="inlineStr">
        <is>
          <t>토공</t>
        </is>
      </c>
      <c r="C14" s="111">
        <f>SUM(E14:AK14)</f>
        <v/>
      </c>
      <c r="D14" s="112" t="n"/>
      <c r="E14" s="113" t="n"/>
      <c r="F14" s="9">
        <f>COUNTIFS(과년도모음!$B$1:$B$1024,F$2,과년도모음!$E$1:$E$1024,"토공")</f>
        <v/>
      </c>
      <c r="G14" s="9">
        <f>COUNTIFS(과년도모음!$B$1:$B$1024,G$2,과년도모음!$E$1:$E$1024,"토공")</f>
        <v/>
      </c>
      <c r="H14" s="9">
        <f>COUNTIFS(과년도모음!$B$1:$B$1024,H$2,과년도모음!$E$1:$E$1024,"토공")</f>
        <v/>
      </c>
      <c r="I14" s="9">
        <f>COUNTIFS(과년도모음!$B$1:$B$1024,I$2,과년도모음!$E$1:$E$1024,"토공")</f>
        <v/>
      </c>
      <c r="J14" s="9">
        <f>COUNTIFS(과년도모음!$B$1:$B$1024,J$2,과년도모음!$E$1:$E$1024,"토공")</f>
        <v/>
      </c>
      <c r="K14" s="9">
        <f>COUNTIFS(과년도모음!$B$1:$B$1024,K$2,과년도모음!$E$1:$E$1024,"토공")</f>
        <v/>
      </c>
      <c r="L14" s="9">
        <f>COUNTIFS(과년도모음!$B$1:$B$1024,L$2,과년도모음!$E$1:$E$1024,"토공")</f>
        <v/>
      </c>
      <c r="M14" s="9">
        <f>COUNTIFS(과년도모음!$B$1:$B$1024,M$2,과년도모음!$E$1:$E$1024,"토공")</f>
        <v/>
      </c>
      <c r="N14" s="9">
        <f>COUNTIFS(과년도모음!$B$281:$B$1024,N$2,과년도모음!$E$281:$E$1024,"토공")</f>
        <v/>
      </c>
      <c r="O14" s="9">
        <f>COUNTIFS(과년도모음!$B$312:$B$1024,O$2,과년도모음!$E$312:$E$1024,"토공")</f>
        <v/>
      </c>
      <c r="P14" s="9">
        <f>COUNTIFS(과년도모음!$B$343:$B$1024,P$2,과년도모음!$E$343:$E$1024,"토공")</f>
        <v/>
      </c>
      <c r="Q14" s="9">
        <f>COUNTIFS(과년도모음!$B$343:$B$1024,Q$2,과년도모음!$E$343:$E$1024,"토공")</f>
        <v/>
      </c>
      <c r="R14" s="9">
        <f>COUNTIFS(과년도모음!$B$343:$B$1024,R$2,과년도모음!$E$343:$E$1024,"토공")</f>
        <v/>
      </c>
      <c r="S14" s="9">
        <f>COUNTIFS(과년도모음!$B$343:$B$1024,S$2,과년도모음!$E$343:$E$1024,"토공")</f>
        <v/>
      </c>
      <c r="T14" s="9">
        <f>COUNTIFS(과년도모음!$B$343:$B$1024,T$2,과년도모음!$E$343:$E$1024,"토공")</f>
        <v/>
      </c>
      <c r="U14" s="9">
        <f>COUNTIFS(과년도모음!$B$343:$B$1024,U$2,과년도모음!$E$343:$E$1024,"토공")</f>
        <v/>
      </c>
      <c r="V14" s="9">
        <f>COUNTIFS(과년도모음!$B$343:$B$1024,V$2,과년도모음!$E$343:$E$1024,"토공")</f>
        <v/>
      </c>
      <c r="W14" s="9">
        <f>COUNTIFS(과년도모음!$B$343:$B$1024,W$2,과년도모음!$E$343:$E$1024,"토공")</f>
        <v/>
      </c>
      <c r="X14" s="9">
        <f>COUNTIFS(과년도모음!$B$343:$B$1024,X$2,과년도모음!$E$343:$E$1024,"토공")</f>
        <v/>
      </c>
      <c r="Y14" s="9">
        <f>COUNTIFS(과년도모음!$B$343:$B$1024,Y$2,과년도모음!$E$343:$E$1024,"토공")</f>
        <v/>
      </c>
      <c r="Z14" s="9">
        <f>COUNTIFS(과년도모음!$B$343:$B$1024,Z$2,과년도모음!$E$343:$E$1024,"토공")</f>
        <v/>
      </c>
      <c r="AA14" s="9">
        <f>COUNTIFS(과년도모음!$B$343:$B$1024,AA$2,과년도모음!$E$343:$E$1024,"토공")</f>
        <v/>
      </c>
      <c r="AB14" s="9">
        <f>COUNTIFS(과년도모음!$B$343:$B$1024,AB$2,과년도모음!$E$343:$E$1024,"토공")</f>
        <v/>
      </c>
      <c r="AC14" s="9">
        <f>COUNTIFS(과년도모음!$B$343:$B$1024,AC$2,과년도모음!$E$343:$E$1024,"토공")</f>
        <v/>
      </c>
      <c r="AD14" s="9">
        <f>COUNTIFS(과년도모음!$B$343:$B$1024,AD$2,과년도모음!$E$343:$E$1024,"토공")</f>
        <v/>
      </c>
      <c r="AE14" s="9">
        <f>COUNTIFS(과년도모음!$B$343:$B$1024,AE$2,과년도모음!$E$343:$E$1024,"토공")</f>
        <v/>
      </c>
      <c r="AF14" s="9">
        <f>COUNTIFS(과년도모음!$B$343:$B$1024,AF$2,과년도모음!$E$343:$E$1024,"토공")</f>
        <v/>
      </c>
      <c r="AG14" s="9">
        <f>COUNTIFS(과년도모음!$B$343:$B$1024,AG$2,과년도모음!$E$343:$E$1024,"토공")</f>
        <v/>
      </c>
      <c r="AH14" s="9">
        <f>COUNTIFS(과년도모음!$B$343:$B$1024,AH$2,과년도모음!$E$343:$E$1024,"토공")</f>
        <v/>
      </c>
      <c r="AI14" s="9">
        <f>COUNTIFS(과년도모음!$B$343:$B$1024,AI$2,과년도모음!$E$343:$E$1024,"토공")</f>
        <v/>
      </c>
      <c r="AJ14" s="9">
        <f>COUNTIFS(과년도모음!$B$343:$B$1024,AJ$2,과년도모음!$E$343:$E$1024,"토공")</f>
        <v/>
      </c>
      <c r="AK14" s="9">
        <f>COUNTIFS(과년도모음!$B$343:$B$1024,AK$2,과년도모음!$E$343:$E$1024,"토공")</f>
        <v/>
      </c>
      <c r="AL14" s="16" t="n"/>
    </row>
    <row r="15">
      <c r="A15" s="15" t="n">
        <v>13</v>
      </c>
      <c r="B15" s="111" t="inlineStr">
        <is>
          <t>기초</t>
        </is>
      </c>
      <c r="C15" s="111">
        <f>SUM(E15:AK15)</f>
        <v/>
      </c>
      <c r="D15" s="112" t="n"/>
      <c r="E15" s="113" t="n"/>
      <c r="F15" s="9">
        <f>COUNTIFS(과년도모음!$B$1:$B$1024,F$2,과년도모음!$E$1:$E$1024,"기초")</f>
        <v/>
      </c>
      <c r="G15" s="9">
        <f>COUNTIFS(과년도모음!$B$1:$B$1024,G$2,과년도모음!$E$1:$E$1024,"기초")</f>
        <v/>
      </c>
      <c r="H15" s="9">
        <f>COUNTIFS(과년도모음!$B$1:$B$1024,H$2,과년도모음!$E$1:$E$1024,"기초")</f>
        <v/>
      </c>
      <c r="I15" s="9">
        <f>COUNTIFS(과년도모음!$B$1:$B$1024,I$2,과년도모음!$E$1:$E$1024,"기초")</f>
        <v/>
      </c>
      <c r="J15" s="9">
        <f>COUNTIFS(과년도모음!$B$1:$B$1024,J$2,과년도모음!$E$1:$E$1024,"기초")</f>
        <v/>
      </c>
      <c r="K15" s="9">
        <f>COUNTIFS(과년도모음!$B$1:$B$1024,K$2,과년도모음!$E$1:$E$1024,"기초")</f>
        <v/>
      </c>
      <c r="L15" s="9">
        <f>COUNTIFS(과년도모음!$B$1:$B$1024,L$2,과년도모음!$E$1:$E$1024,"기초")</f>
        <v/>
      </c>
      <c r="M15" s="9">
        <f>COUNTIFS(과년도모음!$B$1:$B$1024,M$2,과년도모음!$E$1:$E$1024,"기초")</f>
        <v/>
      </c>
      <c r="N15" s="9">
        <f>COUNTIFS(과년도모음!$B$281:$B$1024,N$2,과년도모음!$E$281:$E$1024,"기초")</f>
        <v/>
      </c>
      <c r="O15" s="9">
        <f>COUNTIFS(과년도모음!$B$312:$B$1024,O$2,과년도모음!$E$312:$E$1024,"기초")</f>
        <v/>
      </c>
      <c r="P15" s="9">
        <f>COUNTIFS(과년도모음!$B$343:$B$1024,P$2,과년도모음!$E$343:$E$1024,"기초")</f>
        <v/>
      </c>
      <c r="Q15" s="9">
        <f>COUNTIFS(과년도모음!$B$343:$B$1024,Q$2,과년도모음!$E$343:$E$1024,"기초")</f>
        <v/>
      </c>
      <c r="R15" s="9">
        <f>COUNTIFS(과년도모음!$B$343:$B$1024,R$2,과년도모음!$E$343:$E$1024,"기초")</f>
        <v/>
      </c>
      <c r="S15" s="9">
        <f>COUNTIFS(과년도모음!$B$343:$B$1024,S$2,과년도모음!$E$343:$E$1024,"기초")</f>
        <v/>
      </c>
      <c r="T15" s="9">
        <f>COUNTIFS(과년도모음!$B$343:$B$1024,T$2,과년도모음!$E$343:$E$1024,"기초")</f>
        <v/>
      </c>
      <c r="U15" s="9">
        <f>COUNTIFS(과년도모음!$B$343:$B$1024,U$2,과년도모음!$E$343:$E$1024,"기초")</f>
        <v/>
      </c>
      <c r="V15" s="9">
        <f>COUNTIFS(과년도모음!$B$343:$B$1024,V$2,과년도모음!$E$343:$E$1024,"기초")</f>
        <v/>
      </c>
      <c r="W15" s="9">
        <f>COUNTIFS(과년도모음!$B$343:$B$1024,W$2,과년도모음!$E$343:$E$1024,"기초")</f>
        <v/>
      </c>
      <c r="X15" s="9">
        <f>COUNTIFS(과년도모음!$B$343:$B$1024,X$2,과년도모음!$E$343:$E$1024,"기초")</f>
        <v/>
      </c>
      <c r="Y15" s="9">
        <f>COUNTIFS(과년도모음!$B$343:$B$1024,Y$2,과년도모음!$E$343:$E$1024,"기초")</f>
        <v/>
      </c>
      <c r="Z15" s="9">
        <f>COUNTIFS(과년도모음!$B$343:$B$1024,Z$2,과년도모음!$E$343:$E$1024,"기초")</f>
        <v/>
      </c>
      <c r="AA15" s="9">
        <f>COUNTIFS(과년도모음!$B$343:$B$1024,AA$2,과년도모음!$E$343:$E$1024,"기초")</f>
        <v/>
      </c>
      <c r="AB15" s="9">
        <f>COUNTIFS(과년도모음!$B$343:$B$1024,AB$2,과년도모음!$E$343:$E$1024,"기초")</f>
        <v/>
      </c>
      <c r="AC15" s="9">
        <f>COUNTIFS(과년도모음!$B$343:$B$1024,AC$2,과년도모음!$E$343:$E$1024,"기초")</f>
        <v/>
      </c>
      <c r="AD15" s="9">
        <f>COUNTIFS(과년도모음!$B$343:$B$1024,AD$2,과년도모음!$E$343:$E$1024,"기초")</f>
        <v/>
      </c>
      <c r="AE15" s="9">
        <f>COUNTIFS(과년도모음!$B$343:$B$1024,AE$2,과년도모음!$E$343:$E$1024,"기초")</f>
        <v/>
      </c>
      <c r="AF15" s="9">
        <f>COUNTIFS(과년도모음!$B$343:$B$1024,AF$2,과년도모음!$E$343:$E$1024,"기초")</f>
        <v/>
      </c>
      <c r="AG15" s="9">
        <f>COUNTIFS(과년도모음!$B$343:$B$1024,AG$2,과년도모음!$E$343:$E$1024,"기초")</f>
        <v/>
      </c>
      <c r="AH15" s="9">
        <f>COUNTIFS(과년도모음!$B$343:$B$1024,AH$2,과년도모음!$E$343:$E$1024,"기초")</f>
        <v/>
      </c>
      <c r="AI15" s="9">
        <f>COUNTIFS(과년도모음!$B$343:$B$1024,AI$2,과년도모음!$E$343:$E$1024,"기초")</f>
        <v/>
      </c>
      <c r="AJ15" s="9">
        <f>COUNTIFS(과년도모음!$B$343:$B$1024,AJ$2,과년도모음!$E$343:$E$1024,"기초")</f>
        <v/>
      </c>
      <c r="AK15" s="9">
        <f>COUNTIFS(과년도모음!$B$343:$B$1024,AK$2,과년도모음!$E$343:$E$1024,"기초")</f>
        <v/>
      </c>
      <c r="AL15" s="16" t="n"/>
    </row>
    <row r="16">
      <c r="A16" s="15" t="n">
        <v>14</v>
      </c>
      <c r="B16" s="111" t="inlineStr">
        <is>
          <t>강재 및 철골</t>
        </is>
      </c>
      <c r="C16" s="111">
        <f>SUM(E16:AK16)</f>
        <v/>
      </c>
      <c r="D16" s="112" t="n"/>
      <c r="E16" s="113" t="n"/>
      <c r="F16" s="9">
        <f>COUNTIFS(과년도모음!$B$1:$B$1024,F$2,과년도모음!$E$1:$E$1024,"강재")+COUNTIFS(과년도모음!$B$1:$B$1024,F2,과년도모음!$E$1:$E$1024,"철골")</f>
        <v/>
      </c>
      <c r="G16" s="9">
        <f>COUNTIFS(과년도모음!$B$1:$B$1024,G$2,과년도모음!$E$1:$E$1024,"강재")+COUNTIFS(과년도모음!$B$1:$B$1024,G2,과년도모음!$E$1:$E$1024,"철골")</f>
        <v/>
      </c>
      <c r="H16" s="9">
        <f>COUNTIFS(과년도모음!$B$1:$B$1024,H$2,과년도모음!$E$1:$E$1024,"강재")+COUNTIFS(과년도모음!$B$1:$B$1024,H2,과년도모음!$E$1:$E$1024,"철골")</f>
        <v/>
      </c>
      <c r="I16" s="9">
        <f>COUNTIFS(과년도모음!$B$1:$B$1024,I$2,과년도모음!$E$1:$E$1024,"강재")+COUNTIFS(과년도모음!$B$1:$B$1024,I2,과년도모음!$E$1:$E$1024,"철골")</f>
        <v/>
      </c>
      <c r="J16" s="9">
        <f>COUNTIFS(과년도모음!$B$1:$B$1024,J$2,과년도모음!$E$1:$E$1024,"강재")+COUNTIFS(과년도모음!$B$1:$B$1024,J2,과년도모음!$E$1:$E$1024,"철골")</f>
        <v/>
      </c>
      <c r="K16" s="9">
        <f>COUNTIFS(과년도모음!$B$1:$B$1024,K$2,과년도모음!$E$1:$E$1024,"강재")+COUNTIFS(과년도모음!$B$1:$B$1024,K2,과년도모음!$E$1:$E$1024,"철골")</f>
        <v/>
      </c>
      <c r="L16" s="9">
        <f>COUNTIFS(과년도모음!$B$1:$B$1024,L$2,과년도모음!$E$1:$E$1024,"강재")+COUNTIFS(과년도모음!$B$1:$B$1024,#REF!,과년도모음!$E$1:$E$1024,"철골")</f>
        <v/>
      </c>
      <c r="M16" s="9">
        <f>COUNTIFS(과년도모음!$B$1:$B$1024,M$2,과년도모음!$E$1:$E$1024,"강재")+COUNTIFS(과년도모음!$B$1:$B$1024,#REF!,과년도모음!$E$1:$E$1024,"철골")</f>
        <v/>
      </c>
      <c r="N16" s="9">
        <f>COUNTIFS(과년도모음!$B$281:$B$1024,N$2,과년도모음!$E$281:$E$1024,"강재")+COUNTIFS(과년도모음!$B$281:$B$1024,#REF!,과년도모음!$E$281:$E$1024,"철골")</f>
        <v/>
      </c>
      <c r="O16" s="9">
        <f>COUNTIFS(과년도모음!$B$312:$B$1024,O$2,과년도모음!$E$312:$E$1024,"강재")+COUNTIFS(과년도모음!$B$312:$B$1024,#REF!,과년도모음!$E$312:$E$1024,"철골")</f>
        <v/>
      </c>
      <c r="P16" s="9">
        <f>COUNTIFS(과년도모음!$B$343:$B$1024,P$2,과년도모음!$E$343:$E$1024,"강재")+COUNTIFS(과년도모음!$B$343:$B$1024,#REF!,과년도모음!$E$343:$E$1024,"철골")</f>
        <v/>
      </c>
      <c r="Q16" s="9">
        <f>COUNTIFS(과년도모음!$B$343:$B$1024,Q$2,과년도모음!$E$343:$E$1024,"강재")+COUNTIFS(과년도모음!$B$343:$B$1024,#REF!,과년도모음!$E$343:$E$1024,"철골")</f>
        <v/>
      </c>
      <c r="R16" s="9">
        <f>COUNTIFS(과년도모음!$B$343:$B$1024,R$2,과년도모음!$E$343:$E$1024,"강재")+COUNTIFS(과년도모음!$B$343:$B$1024,#REF!,과년도모음!$E$343:$E$1024,"철골")</f>
        <v/>
      </c>
      <c r="S16" s="9">
        <f>COUNTIFS(과년도모음!$B$343:$B$1024,S$2,과년도모음!$E$343:$E$1024,"강재")+COUNTIFS(과년도모음!$B$343:$B$1024,S$2,과년도모음!$E$343:$E$1024,"철골")</f>
        <v/>
      </c>
      <c r="T16" s="9">
        <f>COUNTIFS(과년도모음!$B$343:$B$1024,T$2,과년도모음!$E$343:$E$1024,"강재")+COUNTIFS(과년도모음!$B$343:$B$1024,T$2,과년도모음!$E$343:$E$1024,"철골")</f>
        <v/>
      </c>
      <c r="U16" s="9">
        <f>COUNTIFS(과년도모음!$B$343:$B$1024,U$2,과년도모음!$E$343:$E$1024,"강재")+COUNTIFS(과년도모음!$B$343:$B$1024,U$2,과년도모음!$E$343:$E$1024,"철골")</f>
        <v/>
      </c>
      <c r="V16" s="9">
        <f>COUNTIFS(과년도모음!$B$343:$B$1024,V$2,과년도모음!$E$343:$E$1024,"강재")+COUNTIFS(과년도모음!$B$343:$B$1024,V$2,과년도모음!$E$343:$E$1024,"철골")</f>
        <v/>
      </c>
      <c r="W16" s="9">
        <f>COUNTIFS(과년도모음!$B$343:$B$1024,W$2,과년도모음!$E$343:$E$1024,"강재")+COUNTIFS(과년도모음!$B$343:$B$1024,W$2,과년도모음!$E$343:$E$1024,"철골")</f>
        <v/>
      </c>
      <c r="X16" s="9">
        <f>COUNTIFS(과년도모음!$B$343:$B$1024,X$2,과년도모음!$E$343:$E$1024,"강재")+COUNTIFS(과년도모음!$B$343:$B$1024,X$2,과년도모음!$E$343:$E$1024,"철골")</f>
        <v/>
      </c>
      <c r="Y16" s="9">
        <f>COUNTIFS(과년도모음!$B$343:$B$1024,Y$2,과년도모음!$E$343:$E$1024,"강재")+COUNTIFS(과년도모음!$B$343:$B$1024,Y$2,과년도모음!$E$343:$E$1024,"철골")</f>
        <v/>
      </c>
      <c r="Z16" s="9">
        <f>COUNTIFS(과년도모음!$B$343:$B$1024,Z$2,과년도모음!$E$343:$E$1024,"강재")+COUNTIFS(과년도모음!$B$343:$B$1024,Z$2,과년도모음!$E$343:$E$1024,"철골")</f>
        <v/>
      </c>
      <c r="AA16" s="9">
        <f>COUNTIFS(과년도모음!$B$343:$B$1024,AA$2,과년도모음!$E$343:$E$1024,"강재")+COUNTIFS(과년도모음!$B$343:$B$1024,AA$2,과년도모음!$E$343:$E$1024,"철골")</f>
        <v/>
      </c>
      <c r="AB16" s="9">
        <f>COUNTIFS(과년도모음!$B$343:$B$1024,AB$2,과년도모음!$E$343:$E$1024,"강재")+COUNTIFS(과년도모음!$B$343:$B$1024,AB$2,과년도모음!$E$343:$E$1024,"철골")</f>
        <v/>
      </c>
      <c r="AC16" s="9">
        <f>COUNTIFS(과년도모음!$B$343:$B$1024,AC$2,과년도모음!$E$343:$E$1024,"강재")+COUNTIFS(과년도모음!$B$343:$B$1024,AC$2,과년도모음!$E$343:$E$1024,"철골")</f>
        <v/>
      </c>
      <c r="AD16" s="9">
        <f>COUNTIFS(과년도모음!$B$343:$B$1024,AD$2,과년도모음!$E$343:$E$1024,"강재")+COUNTIFS(과년도모음!$B$343:$B$1024,AD$2,과년도모음!$E$343:$E$1024,"철골")</f>
        <v/>
      </c>
      <c r="AE16" s="9">
        <f>COUNTIFS(과년도모음!$B$343:$B$1024,AE$2,과년도모음!$E$343:$E$1024,"강재")+COUNTIFS(과년도모음!$B$343:$B$1024,AE$2,과년도모음!$E$343:$E$1024,"철골")</f>
        <v/>
      </c>
      <c r="AF16" s="9">
        <f>COUNTIFS(과년도모음!$B$343:$B$1024,AF$2,과년도모음!$E$343:$E$1024,"강재")+COUNTIFS(과년도모음!$B$343:$B$1024,AF$2,과년도모음!$E$343:$E$1024,"철골")</f>
        <v/>
      </c>
      <c r="AG16" s="9">
        <f>COUNTIFS(과년도모음!$B$343:$B$1024,AG$2,과년도모음!$E$343:$E$1024,"강재")+COUNTIFS(과년도모음!$B$343:$B$1024,AG$2,과년도모음!$E$343:$E$1024,"철골")</f>
        <v/>
      </c>
      <c r="AH16" s="9">
        <f>COUNTIFS(과년도모음!$B$343:$B$1024,AH$2,과년도모음!$E$343:$E$1024,"강재")+COUNTIFS(과년도모음!$B$343:$B$1024,AH$2,과년도모음!$E$343:$E$1024,"철골")</f>
        <v/>
      </c>
      <c r="AI16" s="9">
        <f>COUNTIFS(과년도모음!$B$343:$B$1024,AI$2,과년도모음!$E$343:$E$1024,"강재")+COUNTIFS(과년도모음!$B$343:$B$1024,AI$2,과년도모음!$E$343:$E$1024,"철골")</f>
        <v/>
      </c>
      <c r="AJ16" s="9">
        <f>COUNTIFS(과년도모음!$B$343:$B$1024,AJ$2,과년도모음!$E$343:$E$1024,"강재")+COUNTIFS(과년도모음!$B$343:$B$1024,AJ$2,과년도모음!$E$343:$E$1024,"철골")</f>
        <v/>
      </c>
      <c r="AK16" s="9">
        <f>COUNTIFS(과년도모음!$B$343:$B$1024,AK$2,과년도모음!$E$343:$E$1024,"강재")+COUNTIFS(과년도모음!$B$343:$B$1024,AK$2,과년도모음!$E$343:$E$1024,"철골")</f>
        <v/>
      </c>
      <c r="AL16" s="16" t="n"/>
    </row>
    <row r="17">
      <c r="A17" s="15" t="n">
        <v>15</v>
      </c>
      <c r="B17" s="111" t="inlineStr">
        <is>
          <t>교량</t>
        </is>
      </c>
      <c r="C17" s="111">
        <f>SUM(E17:AK17)</f>
        <v/>
      </c>
      <c r="D17" s="112" t="n"/>
      <c r="E17" s="113" t="n"/>
      <c r="F17" s="9">
        <f>COUNTIFS(과년도모음!$B$1:$B$1024,F$2,과년도모음!$E$1:$E$1024,"교량")</f>
        <v/>
      </c>
      <c r="G17" s="9">
        <f>COUNTIFS(과년도모음!$B$1:$B$1024,G$2,과년도모음!$E$1:$E$1024,"교량")</f>
        <v/>
      </c>
      <c r="H17" s="9">
        <f>COUNTIFS(과년도모음!$B$1:$B$1024,H$2,과년도모음!$E$1:$E$1024,"교량")</f>
        <v/>
      </c>
      <c r="I17" s="9">
        <f>COUNTIFS(과년도모음!$B$1:$B$1024,I$2,과년도모음!$E$1:$E$1024,"교량")</f>
        <v/>
      </c>
      <c r="J17" s="9">
        <f>COUNTIFS(과년도모음!$B$1:$B$1024,J$2,과년도모음!$E$1:$E$1024,"교량")</f>
        <v/>
      </c>
      <c r="K17" s="9">
        <f>COUNTIFS(과년도모음!$B$1:$B$1024,K$2,과년도모음!$E$1:$E$1024,"교량")</f>
        <v/>
      </c>
      <c r="L17" s="9">
        <f>COUNTIFS(과년도모음!$B$1:$B$1024,L$2,과년도모음!$E$1:$E$1024,"교량")</f>
        <v/>
      </c>
      <c r="M17" s="9">
        <f>COUNTIFS(과년도모음!$B$1:$B$1024,M$2,과년도모음!$E$1:$E$1024,"교량")</f>
        <v/>
      </c>
      <c r="N17" s="9">
        <f>COUNTIFS(과년도모음!$B$281:$B$1024,N$2,과년도모음!$E$281:$E$1024,"교량")</f>
        <v/>
      </c>
      <c r="O17" s="9">
        <f>COUNTIFS(과년도모음!$B$312:$B$1024,O$2,과년도모음!$E$312:$E$1024,"교량")</f>
        <v/>
      </c>
      <c r="P17" s="9">
        <f>COUNTIFS(과년도모음!$B$343:$B$1024,P$2,과년도모음!$E$343:$E$1024,"교량")</f>
        <v/>
      </c>
      <c r="Q17" s="9">
        <f>COUNTIFS(과년도모음!$B$343:$B$1024,Q$2,과년도모음!$E$343:$E$1024,"교량")</f>
        <v/>
      </c>
      <c r="R17" s="9">
        <f>COUNTIFS(과년도모음!$B$343:$B$1024,R$2,과년도모음!$E$343:$E$1024,"교량")</f>
        <v/>
      </c>
      <c r="S17" s="9">
        <f>COUNTIFS(과년도모음!$B$343:$B$1024,S$2,과년도모음!$E$343:$E$1024,"교량")</f>
        <v/>
      </c>
      <c r="T17" s="9">
        <f>COUNTIFS(과년도모음!$B$343:$B$1024,T$2,과년도모음!$E$343:$E$1024,"교량")</f>
        <v/>
      </c>
      <c r="U17" s="9">
        <f>COUNTIFS(과년도모음!$B$343:$B$1024,U$2,과년도모음!$E$343:$E$1024,"교량")</f>
        <v/>
      </c>
      <c r="V17" s="9">
        <f>COUNTIFS(과년도모음!$B$343:$B$1024,V$2,과년도모음!$E$343:$E$1024,"교량")</f>
        <v/>
      </c>
      <c r="W17" s="9">
        <f>COUNTIFS(과년도모음!$B$343:$B$1024,W$2,과년도모음!$E$343:$E$1024,"교량")</f>
        <v/>
      </c>
      <c r="X17" s="9">
        <f>COUNTIFS(과년도모음!$B$343:$B$1024,X$2,과년도모음!$E$343:$E$1024,"교량")</f>
        <v/>
      </c>
      <c r="Y17" s="9">
        <f>COUNTIFS(과년도모음!$B$343:$B$1024,Y$2,과년도모음!$E$343:$E$1024,"교량")</f>
        <v/>
      </c>
      <c r="Z17" s="9">
        <f>COUNTIFS(과년도모음!$B$343:$B$1024,Z$2,과년도모음!$E$343:$E$1024,"교량")</f>
        <v/>
      </c>
      <c r="AA17" s="9">
        <f>COUNTIFS(과년도모음!$B$343:$B$1024,AA$2,과년도모음!$E$343:$E$1024,"교량")</f>
        <v/>
      </c>
      <c r="AB17" s="9">
        <f>COUNTIFS(과년도모음!$B$343:$B$1024,AB$2,과년도모음!$E$343:$E$1024,"교량")</f>
        <v/>
      </c>
      <c r="AC17" s="9">
        <f>COUNTIFS(과년도모음!$B$343:$B$1024,AC$2,과년도모음!$E$343:$E$1024,"교량")</f>
        <v/>
      </c>
      <c r="AD17" s="9">
        <f>COUNTIFS(과년도모음!$B$343:$B$1024,AD$2,과년도모음!$E$343:$E$1024,"교량")</f>
        <v/>
      </c>
      <c r="AE17" s="9">
        <f>COUNTIFS(과년도모음!$B$343:$B$1024,AE$2,과년도모음!$E$343:$E$1024,"교량")</f>
        <v/>
      </c>
      <c r="AF17" s="9">
        <f>COUNTIFS(과년도모음!$B$343:$B$1024,AF$2,과년도모음!$E$343:$E$1024,"교량")</f>
        <v/>
      </c>
      <c r="AG17" s="9">
        <f>COUNTIFS(과년도모음!$B$343:$B$1024,AG$2,과년도모음!$E$343:$E$1024,"교량")</f>
        <v/>
      </c>
      <c r="AH17" s="9">
        <f>COUNTIFS(과년도모음!$B$343:$B$1024,AH$2,과년도모음!$E$343:$E$1024,"교량")</f>
        <v/>
      </c>
      <c r="AI17" s="9">
        <f>COUNTIFS(과년도모음!$B$343:$B$1024,AI$2,과년도모음!$E$343:$E$1024,"교량")</f>
        <v/>
      </c>
      <c r="AJ17" s="9">
        <f>COUNTIFS(과년도모음!$B$343:$B$1024,AJ$2,과년도모음!$E$343:$E$1024,"교량")</f>
        <v/>
      </c>
      <c r="AK17" s="9">
        <f>COUNTIFS(과년도모음!$B$343:$B$1024,AK$2,과년도모음!$E$343:$E$1024,"교량")</f>
        <v/>
      </c>
      <c r="AL17" s="16" t="n"/>
    </row>
    <row r="18">
      <c r="A18" s="15" t="n">
        <v>16</v>
      </c>
      <c r="B18" s="111" t="inlineStr">
        <is>
          <t>터널</t>
        </is>
      </c>
      <c r="C18" s="111">
        <f>SUM(E18:AK18)</f>
        <v/>
      </c>
      <c r="D18" s="112" t="n"/>
      <c r="E18" s="113" t="n"/>
      <c r="F18" s="9">
        <f>COUNTIFS(과년도모음!$B$1:$B$1024,F$2,과년도모음!$E$1:$E$1024,"터널")</f>
        <v/>
      </c>
      <c r="G18" s="9">
        <f>COUNTIFS(과년도모음!$B$1:$B$1024,G$2,과년도모음!$E$1:$E$1024,"터널")</f>
        <v/>
      </c>
      <c r="H18" s="9">
        <f>COUNTIFS(과년도모음!$B$1:$B$1024,H$2,과년도모음!$E$1:$E$1024,"터널")</f>
        <v/>
      </c>
      <c r="I18" s="9">
        <f>COUNTIFS(과년도모음!$B$1:$B$1024,I$2,과년도모음!$E$1:$E$1024,"터널")</f>
        <v/>
      </c>
      <c r="J18" s="9">
        <f>COUNTIFS(과년도모음!$B$1:$B$1024,J$2,과년도모음!$E$1:$E$1024,"터널")</f>
        <v/>
      </c>
      <c r="K18" s="9">
        <f>COUNTIFS(과년도모음!$B$1:$B$1024,K$2,과년도모음!$E$1:$E$1024,"터널")</f>
        <v/>
      </c>
      <c r="L18" s="9">
        <f>COUNTIFS(과년도모음!$B$1:$B$1024,L$2,과년도모음!$E$1:$E$1024,"터널")</f>
        <v/>
      </c>
      <c r="M18" s="9">
        <f>COUNTIFS(과년도모음!$B$1:$B$1024,M$2,과년도모음!$E$1:$E$1024,"터널")</f>
        <v/>
      </c>
      <c r="N18" s="9">
        <f>COUNTIFS(과년도모음!$B$281:$B$1024,N$2,과년도모음!$E$281:$E$1024,"터널")</f>
        <v/>
      </c>
      <c r="O18" s="9">
        <f>COUNTIFS(과년도모음!$B$312:$B$1024,O$2,과년도모음!$E$312:$E$1024,"터널")</f>
        <v/>
      </c>
      <c r="P18" s="9">
        <f>COUNTIFS(과년도모음!$B$343:$B$1024,P$2,과년도모음!$E$343:$E$1024,"터널")</f>
        <v/>
      </c>
      <c r="Q18" s="9">
        <f>COUNTIFS(과년도모음!$B$343:$B$1024,Q$2,과년도모음!$E$343:$E$1024,"터널")</f>
        <v/>
      </c>
      <c r="R18" s="9">
        <f>COUNTIFS(과년도모음!$B$343:$B$1024,R$2,과년도모음!$E$343:$E$1024,"터널")</f>
        <v/>
      </c>
      <c r="S18" s="9">
        <f>COUNTIFS(과년도모음!$B$343:$B$1024,S$2,과년도모음!$E$343:$E$1024,"터널")</f>
        <v/>
      </c>
      <c r="T18" s="9">
        <f>COUNTIFS(과년도모음!$B$343:$B$1024,T$2,과년도모음!$E$343:$E$1024,"터널")</f>
        <v/>
      </c>
      <c r="U18" s="9">
        <f>COUNTIFS(과년도모음!$B$343:$B$1024,U$2,과년도모음!$E$343:$E$1024,"터널")</f>
        <v/>
      </c>
      <c r="V18" s="9">
        <f>COUNTIFS(과년도모음!$B$343:$B$1024,V$2,과년도모음!$E$343:$E$1024,"터널")</f>
        <v/>
      </c>
      <c r="W18" s="9">
        <f>COUNTIFS(과년도모음!$B$343:$B$1024,W$2,과년도모음!$E$343:$E$1024,"터널")</f>
        <v/>
      </c>
      <c r="X18" s="9">
        <f>COUNTIFS(과년도모음!$B$343:$B$1024,X$2,과년도모음!$E$343:$E$1024,"터널")</f>
        <v/>
      </c>
      <c r="Y18" s="9">
        <f>COUNTIFS(과년도모음!$B$343:$B$1024,Y$2,과년도모음!$E$343:$E$1024,"터널")</f>
        <v/>
      </c>
      <c r="Z18" s="9">
        <f>COUNTIFS(과년도모음!$B$343:$B$1024,Z$2,과년도모음!$E$343:$E$1024,"터널")</f>
        <v/>
      </c>
      <c r="AA18" s="9">
        <f>COUNTIFS(과년도모음!$B$343:$B$1024,AA$2,과년도모음!$E$343:$E$1024,"터널")</f>
        <v/>
      </c>
      <c r="AB18" s="9">
        <f>COUNTIFS(과년도모음!$B$343:$B$1024,AB$2,과년도모음!$E$343:$E$1024,"터널")</f>
        <v/>
      </c>
      <c r="AC18" s="9">
        <f>COUNTIFS(과년도모음!$B$343:$B$1024,AC$2,과년도모음!$E$343:$E$1024,"터널")</f>
        <v/>
      </c>
      <c r="AD18" s="9">
        <f>COUNTIFS(과년도모음!$B$343:$B$1024,AD$2,과년도모음!$E$343:$E$1024,"터널")</f>
        <v/>
      </c>
      <c r="AE18" s="9">
        <f>COUNTIFS(과년도모음!$B$343:$B$1024,AE$2,과년도모음!$E$343:$E$1024,"터널")</f>
        <v/>
      </c>
      <c r="AF18" s="9">
        <f>COUNTIFS(과년도모음!$B$343:$B$1024,AF$2,과년도모음!$E$343:$E$1024,"터널")</f>
        <v/>
      </c>
      <c r="AG18" s="9">
        <f>COUNTIFS(과년도모음!$B$343:$B$1024,AG$2,과년도모음!$E$343:$E$1024,"터널")</f>
        <v/>
      </c>
      <c r="AH18" s="9">
        <f>COUNTIFS(과년도모음!$B$343:$B$1024,AH$2,과년도모음!$E$343:$E$1024,"터널")</f>
        <v/>
      </c>
      <c r="AI18" s="9">
        <f>COUNTIFS(과년도모음!$B$343:$B$1024,AI$2,과년도모음!$E$343:$E$1024,"터널")</f>
        <v/>
      </c>
      <c r="AJ18" s="9">
        <f>COUNTIFS(과년도모음!$B$343:$B$1024,AJ$2,과년도모음!$E$343:$E$1024,"터널")</f>
        <v/>
      </c>
      <c r="AK18" s="9">
        <f>COUNTIFS(과년도모음!$B$343:$B$1024,AK$2,과년도모음!$E$343:$E$1024,"터널")</f>
        <v/>
      </c>
      <c r="AL18" s="16" t="n"/>
    </row>
    <row r="19">
      <c r="A19" s="15" t="n">
        <v>17</v>
      </c>
      <c r="B19" s="111" t="inlineStr">
        <is>
          <t>건축</t>
        </is>
      </c>
      <c r="C19" s="111">
        <f>SUM(E19:AK19)</f>
        <v/>
      </c>
      <c r="D19" s="112" t="n"/>
      <c r="E19" s="113" t="n"/>
      <c r="F19" s="9">
        <f>COUNTIFS(과년도모음!$B$1:$B$1024,F$2,과년도모음!$E$1:$E$1024,"건축")</f>
        <v/>
      </c>
      <c r="G19" s="9">
        <f>COUNTIFS(과년도모음!$B$1:$B$1024,G$2,과년도모음!$E$1:$E$1024,"건축")</f>
        <v/>
      </c>
      <c r="H19" s="9">
        <f>COUNTIFS(과년도모음!$B$1:$B$1024,H$2,과년도모음!$E$1:$E$1024,"건축")</f>
        <v/>
      </c>
      <c r="I19" s="9">
        <f>COUNTIFS(과년도모음!$B$1:$B$1024,I$2,과년도모음!$E$1:$E$1024,"건축")</f>
        <v/>
      </c>
      <c r="J19" s="9">
        <f>COUNTIFS(과년도모음!$B$1:$B$1024,J$2,과년도모음!$E$1:$E$1024,"건축")</f>
        <v/>
      </c>
      <c r="K19" s="9">
        <f>COUNTIFS(과년도모음!$B$1:$B$1024,K$2,과년도모음!$E$1:$E$1024,"건축")</f>
        <v/>
      </c>
      <c r="L19" s="9">
        <f>COUNTIFS(과년도모음!$B$1:$B$1024,L$2,과년도모음!$E$1:$E$1024,"건축")</f>
        <v/>
      </c>
      <c r="M19" s="9">
        <f>COUNTIFS(과년도모음!$B$1:$B$1024,M$2,과년도모음!$E$1:$E$1024,"건축")</f>
        <v/>
      </c>
      <c r="N19" s="9">
        <f>COUNTIFS(과년도모음!$B$281:$B$1024,N$2,과년도모음!$E$281:$E$1024,"건축")</f>
        <v/>
      </c>
      <c r="O19" s="9">
        <f>COUNTIFS(과년도모음!$B$312:$B$1024,O$2,과년도모음!$E$312:$E$1024,"건축")</f>
        <v/>
      </c>
      <c r="P19" s="9">
        <f>COUNTIFS(과년도모음!$B$343:$B$1024,P$2,과년도모음!$E$343:$E$1024,"건축")</f>
        <v/>
      </c>
      <c r="Q19" s="9">
        <f>COUNTIFS(과년도모음!$B$343:$B$1024,Q$2,과년도모음!$E$343:$E$1024,"건축")</f>
        <v/>
      </c>
      <c r="R19" s="9">
        <f>COUNTIFS(과년도모음!$B$343:$B$1024,R$2,과년도모음!$E$343:$E$1024,"건축")</f>
        <v/>
      </c>
      <c r="S19" s="9">
        <f>COUNTIFS(과년도모음!$B$343:$B$1024,S$2,과년도모음!$E$343:$E$1024,"건축")</f>
        <v/>
      </c>
      <c r="T19" s="9">
        <f>COUNTIFS(과년도모음!$B$343:$B$1024,T$2,과년도모음!$E$343:$E$1024,"건축")</f>
        <v/>
      </c>
      <c r="U19" s="9">
        <f>COUNTIFS(과년도모음!$B$343:$B$1024,U$2,과년도모음!$E$343:$E$1024,"건축")</f>
        <v/>
      </c>
      <c r="V19" s="9">
        <f>COUNTIFS(과년도모음!$B$343:$B$1024,V$2,과년도모음!$E$343:$E$1024,"건축")</f>
        <v/>
      </c>
      <c r="W19" s="9">
        <f>COUNTIFS(과년도모음!$B$343:$B$1024,W$2,과년도모음!$E$343:$E$1024,"건축")</f>
        <v/>
      </c>
      <c r="X19" s="9">
        <f>COUNTIFS(과년도모음!$B$343:$B$1024,X$2,과년도모음!$E$343:$E$1024,"건축")</f>
        <v/>
      </c>
      <c r="Y19" s="9">
        <f>COUNTIFS(과년도모음!$B$343:$B$1024,Y$2,과년도모음!$E$343:$E$1024,"건축")</f>
        <v/>
      </c>
      <c r="Z19" s="9">
        <f>COUNTIFS(과년도모음!$B$343:$B$1024,Z$2,과년도모음!$E$343:$E$1024,"건축")</f>
        <v/>
      </c>
      <c r="AA19" s="9">
        <f>COUNTIFS(과년도모음!$B$343:$B$1024,AA$2,과년도모음!$E$343:$E$1024,"건축")</f>
        <v/>
      </c>
      <c r="AB19" s="9">
        <f>COUNTIFS(과년도모음!$B$343:$B$1024,AB$2,과년도모음!$E$343:$E$1024,"건축")</f>
        <v/>
      </c>
      <c r="AC19" s="9">
        <f>COUNTIFS(과년도모음!$B$343:$B$1024,AC$2,과년도모음!$E$343:$E$1024,"건축")</f>
        <v/>
      </c>
      <c r="AD19" s="9">
        <f>COUNTIFS(과년도모음!$B$343:$B$1024,AD$2,과년도모음!$E$343:$E$1024,"건축")</f>
        <v/>
      </c>
      <c r="AE19" s="9">
        <f>COUNTIFS(과년도모음!$B$343:$B$1024,AE$2,과년도모음!$E$343:$E$1024,"건축")</f>
        <v/>
      </c>
      <c r="AF19" s="9">
        <f>COUNTIFS(과년도모음!$B$343:$B$1024,AF$2,과년도모음!$E$343:$E$1024,"건축")</f>
        <v/>
      </c>
      <c r="AG19" s="9">
        <f>COUNTIFS(과년도모음!$B$343:$B$1024,AG$2,과년도모음!$E$343:$E$1024,"건축")</f>
        <v/>
      </c>
      <c r="AH19" s="9">
        <f>COUNTIFS(과년도모음!$B$343:$B$1024,AH$2,과년도모음!$E$343:$E$1024,"건축")</f>
        <v/>
      </c>
      <c r="AI19" s="9">
        <f>COUNTIFS(과년도모음!$B$343:$B$1024,AI$2,과년도모음!$E$343:$E$1024,"건축")</f>
        <v/>
      </c>
      <c r="AJ19" s="9">
        <f>COUNTIFS(과년도모음!$B$343:$B$1024,AJ$2,과년도모음!$E$343:$E$1024,"건축")</f>
        <v/>
      </c>
      <c r="AK19" s="9">
        <f>COUNTIFS(과년도모음!$B$343:$B$1024,AK$2,과년도모음!$E$343:$E$1024,"건축")</f>
        <v/>
      </c>
      <c r="AL19" s="16" t="n"/>
    </row>
    <row r="20">
      <c r="A20" s="15" t="n">
        <v>18</v>
      </c>
      <c r="B20" s="111" t="inlineStr">
        <is>
          <t>지진</t>
        </is>
      </c>
      <c r="C20" s="111">
        <f>SUM(E20:AK20)</f>
        <v/>
      </c>
      <c r="D20" s="112" t="n"/>
      <c r="E20" s="113" t="n"/>
      <c r="F20" s="9">
        <f>COUNTIFS(과년도모음!$B$1:$B$1024,F$2,과년도모음!$E$1:$E$1024,"지진")</f>
        <v/>
      </c>
      <c r="G20" s="9">
        <f>COUNTIFS(과년도모음!$B$1:$B$1024,G$2,과년도모음!$E$1:$E$1024,"지진")</f>
        <v/>
      </c>
      <c r="H20" s="9">
        <f>COUNTIFS(과년도모음!$B$1:$B$1024,H$2,과년도모음!$E$1:$E$1024,"지진")</f>
        <v/>
      </c>
      <c r="I20" s="9">
        <f>COUNTIFS(과년도모음!$B$1:$B$1024,I$2,과년도모음!$E$1:$E$1024,"지진")</f>
        <v/>
      </c>
      <c r="J20" s="9">
        <f>COUNTIFS(과년도모음!$B$1:$B$1024,J$2,과년도모음!$E$1:$E$1024,"지진")</f>
        <v/>
      </c>
      <c r="K20" s="9">
        <f>COUNTIFS(과년도모음!$B$1:$B$1024,K$2,과년도모음!$E$1:$E$1024,"지진")</f>
        <v/>
      </c>
      <c r="L20" s="9">
        <f>COUNTIFS(과년도모음!$B$1:$B$1024,L$2,과년도모음!$E$1:$E$1024,"지진")</f>
        <v/>
      </c>
      <c r="M20" s="9">
        <f>COUNTIFS(과년도모음!$B$1:$B$1024,M$2,과년도모음!$E$1:$E$1024,"지진")</f>
        <v/>
      </c>
      <c r="N20" s="9">
        <f>COUNTIFS(과년도모음!$B$281:$B$1024,N$2,과년도모음!$E$281:$E$1024,"지진")</f>
        <v/>
      </c>
      <c r="O20" s="9">
        <f>COUNTIFS(과년도모음!$B$312:$B$1024,O$2,과년도모음!$E$312:$E$1024,"지진")</f>
        <v/>
      </c>
      <c r="P20" s="9">
        <f>COUNTIFS(과년도모음!$B$343:$B$1024,P$2,과년도모음!$E$343:$E$1024,"지진")</f>
        <v/>
      </c>
      <c r="Q20" s="9">
        <f>COUNTIFS(과년도모음!$B$343:$B$1024,Q$2,과년도모음!$E$343:$E$1024,"지진")</f>
        <v/>
      </c>
      <c r="R20" s="9">
        <f>COUNTIFS(과년도모음!$B$343:$B$1024,R$2,과년도모음!$E$343:$E$1024,"지진")</f>
        <v/>
      </c>
      <c r="S20" s="9">
        <f>COUNTIFS(과년도모음!$B$343:$B$1024,S$2,과년도모음!$E$343:$E$1024,"지진")</f>
        <v/>
      </c>
      <c r="T20" s="9">
        <f>COUNTIFS(과년도모음!$B$343:$B$1024,T$2,과년도모음!$E$343:$E$1024,"지진")</f>
        <v/>
      </c>
      <c r="U20" s="9">
        <f>COUNTIFS(과년도모음!$B$343:$B$1024,U$2,과년도모음!$E$343:$E$1024,"지진")</f>
        <v/>
      </c>
      <c r="V20" s="9">
        <f>COUNTIFS(과년도모음!$B$343:$B$1024,V$2,과년도모음!$E$343:$E$1024,"지진")</f>
        <v/>
      </c>
      <c r="W20" s="9">
        <f>COUNTIFS(과년도모음!$B$343:$B$1024,W$2,과년도모음!$E$343:$E$1024,"지진")</f>
        <v/>
      </c>
      <c r="X20" s="9">
        <f>COUNTIFS(과년도모음!$B$343:$B$1024,X$2,과년도모음!$E$343:$E$1024,"지진")</f>
        <v/>
      </c>
      <c r="Y20" s="9">
        <f>COUNTIFS(과년도모음!$B$343:$B$1024,Y$2,과년도모음!$E$343:$E$1024,"지진")</f>
        <v/>
      </c>
      <c r="Z20" s="9">
        <f>COUNTIFS(과년도모음!$B$343:$B$1024,Z$2,과년도모음!$E$343:$E$1024,"지진")</f>
        <v/>
      </c>
      <c r="AA20" s="9">
        <f>COUNTIFS(과년도모음!$B$343:$B$1024,AA$2,과년도모음!$E$343:$E$1024,"지진")</f>
        <v/>
      </c>
      <c r="AB20" s="9">
        <f>COUNTIFS(과년도모음!$B$343:$B$1024,AB$2,과년도모음!$E$343:$E$1024,"지진")</f>
        <v/>
      </c>
      <c r="AC20" s="9">
        <f>COUNTIFS(과년도모음!$B$343:$B$1024,AC$2,과년도모음!$E$343:$E$1024,"지진")</f>
        <v/>
      </c>
      <c r="AD20" s="9">
        <f>COUNTIFS(과년도모음!$B$343:$B$1024,AD$2,과년도모음!$E$343:$E$1024,"지진")</f>
        <v/>
      </c>
      <c r="AE20" s="9">
        <f>COUNTIFS(과년도모음!$B$343:$B$1024,AE$2,과년도모음!$E$343:$E$1024,"지진")</f>
        <v/>
      </c>
      <c r="AF20" s="9">
        <f>COUNTIFS(과년도모음!$B$343:$B$1024,AF$2,과년도모음!$E$343:$E$1024,"지진")</f>
        <v/>
      </c>
      <c r="AG20" s="9">
        <f>COUNTIFS(과년도모음!$B$343:$B$1024,AG$2,과년도모음!$E$343:$E$1024,"지진")</f>
        <v/>
      </c>
      <c r="AH20" s="9">
        <f>COUNTIFS(과년도모음!$B$343:$B$1024,AH$2,과년도모음!$E$343:$E$1024,"지진")</f>
        <v/>
      </c>
      <c r="AI20" s="9">
        <f>COUNTIFS(과년도모음!$B$343:$B$1024,AI$2,과년도모음!$E$343:$E$1024,"지진")</f>
        <v/>
      </c>
      <c r="AJ20" s="9">
        <f>COUNTIFS(과년도모음!$B$343:$B$1024,AJ$2,과년도모음!$E$343:$E$1024,"지진")</f>
        <v/>
      </c>
      <c r="AK20" s="9">
        <f>COUNTIFS(과년도모음!$B$343:$B$1024,AK$2,과년도모음!$E$343:$E$1024,"지진")</f>
        <v/>
      </c>
      <c r="AL20" s="16" t="n"/>
    </row>
    <row r="21">
      <c r="A21" s="15" t="n">
        <v>19</v>
      </c>
      <c r="B21" s="111" t="inlineStr">
        <is>
          <t>해체공사</t>
        </is>
      </c>
      <c r="C21" s="111">
        <f>SUM(E21:AK21)</f>
        <v/>
      </c>
      <c r="D21" s="112" t="n"/>
      <c r="E21" s="113" t="n"/>
      <c r="F21" s="9">
        <f>COUNTIFS(과년도모음!$B$1:$B$1024,F$2,과년도모음!$E$1:$E$1024,"해체공사")</f>
        <v/>
      </c>
      <c r="G21" s="9">
        <f>COUNTIFS(과년도모음!$B$1:$B$1024,G$2,과년도모음!$E$1:$E$1024,"해체공사")</f>
        <v/>
      </c>
      <c r="H21" s="9">
        <f>COUNTIFS(과년도모음!$B$1:$B$1024,H$2,과년도모음!$E$1:$E$1024,"해체공사")</f>
        <v/>
      </c>
      <c r="I21" s="9">
        <f>COUNTIFS(과년도모음!$B$1:$B$1024,I$2,과년도모음!$E$1:$E$1024,"해체공사")</f>
        <v/>
      </c>
      <c r="J21" s="9">
        <f>COUNTIFS(과년도모음!$B$1:$B$1024,J$2,과년도모음!$E$1:$E$1024,"해체공사")</f>
        <v/>
      </c>
      <c r="K21" s="9">
        <f>COUNTIFS(과년도모음!$B$1:$B$1024,K$2,과년도모음!$E$1:$E$1024,"해체공사")</f>
        <v/>
      </c>
      <c r="L21" s="9">
        <f>COUNTIFS(과년도모음!$B$1:$B$1024,L$2,과년도모음!$E$1:$E$1024,"해체공사")</f>
        <v/>
      </c>
      <c r="M21" s="9">
        <f>COUNTIFS(과년도모음!$B$1:$B$1024,M$2,과년도모음!$E$1:$E$1024,"해체공사")</f>
        <v/>
      </c>
      <c r="N21" s="9">
        <f>COUNTIFS(과년도모음!$B$281:$B$1024,N$2,과년도모음!$E$281:$E$1024,"해체공사")</f>
        <v/>
      </c>
      <c r="O21" s="9">
        <f>COUNTIFS(과년도모음!$B$312:$B$1024,O$2,과년도모음!$E$312:$E$1024,"해체공사")</f>
        <v/>
      </c>
      <c r="P21" s="9">
        <f>COUNTIFS(과년도모음!$B$343:$B$1024,P$2,과년도모음!$E$343:$E$1024,"해체공사")</f>
        <v/>
      </c>
      <c r="Q21" s="9">
        <f>COUNTIFS(과년도모음!$B$343:$B$1024,Q$2,과년도모음!$E$343:$E$1024,"해체공사")</f>
        <v/>
      </c>
      <c r="R21" s="9">
        <f>COUNTIFS(과년도모음!$B$343:$B$1024,R$2,과년도모음!$E$343:$E$1024,"해체공사")</f>
        <v/>
      </c>
      <c r="S21" s="9">
        <f>COUNTIFS(과년도모음!$B$343:$B$1024,S$2,과년도모음!$E$343:$E$1024,"해체공사")</f>
        <v/>
      </c>
      <c r="T21" s="9">
        <f>COUNTIFS(과년도모음!$B$343:$B$1024,T$2,과년도모음!$E$343:$E$1024,"해체공사")</f>
        <v/>
      </c>
      <c r="U21" s="9">
        <f>COUNTIFS(과년도모음!$B$343:$B$1024,U$2,과년도모음!$E$343:$E$1024,"해체공사")</f>
        <v/>
      </c>
      <c r="V21" s="9">
        <f>COUNTIFS(과년도모음!$B$343:$B$1024,V$2,과년도모음!$E$343:$E$1024,"해체공사")</f>
        <v/>
      </c>
      <c r="W21" s="9">
        <f>COUNTIFS(과년도모음!$B$343:$B$1024,W$2,과년도모음!$E$343:$E$1024,"해체공사")</f>
        <v/>
      </c>
      <c r="X21" s="9">
        <f>COUNTIFS(과년도모음!$B$343:$B$1024,X$2,과년도모음!$E$343:$E$1024,"해체공사")</f>
        <v/>
      </c>
      <c r="Y21" s="9">
        <f>COUNTIFS(과년도모음!$B$343:$B$1024,Y$2,과년도모음!$E$343:$E$1024,"해체공사")</f>
        <v/>
      </c>
      <c r="Z21" s="9">
        <f>COUNTIFS(과년도모음!$B$343:$B$1024,Z$2,과년도모음!$E$343:$E$1024,"해체공사")</f>
        <v/>
      </c>
      <c r="AA21" s="9">
        <f>COUNTIFS(과년도모음!$B$343:$B$1024,AA$2,과년도모음!$E$343:$E$1024,"해체공사")</f>
        <v/>
      </c>
      <c r="AB21" s="9">
        <f>COUNTIFS(과년도모음!$B$343:$B$1024,AB$2,과년도모음!$E$343:$E$1024,"해체공사")</f>
        <v/>
      </c>
      <c r="AC21" s="9">
        <f>COUNTIFS(과년도모음!$B$343:$B$1024,AC$2,과년도모음!$E$343:$E$1024,"해체공사")</f>
        <v/>
      </c>
      <c r="AD21" s="9">
        <f>COUNTIFS(과년도모음!$B$343:$B$1024,AD$2,과년도모음!$E$343:$E$1024,"해체공사")</f>
        <v/>
      </c>
      <c r="AE21" s="9">
        <f>COUNTIFS(과년도모음!$B$343:$B$1024,AE$2,과년도모음!$E$343:$E$1024,"해체공사")</f>
        <v/>
      </c>
      <c r="AF21" s="9">
        <f>COUNTIFS(과년도모음!$B$343:$B$1024,AF$2,과년도모음!$E$343:$E$1024,"해체공사")</f>
        <v/>
      </c>
      <c r="AG21" s="9">
        <f>COUNTIFS(과년도모음!$B$343:$B$1024,AG$2,과년도모음!$E$343:$E$1024,"해체공사")</f>
        <v/>
      </c>
      <c r="AH21" s="9">
        <f>COUNTIFS(과년도모음!$B$343:$B$1024,AH$2,과년도모음!$E$343:$E$1024,"해체공사")</f>
        <v/>
      </c>
      <c r="AI21" s="9">
        <f>COUNTIFS(과년도모음!$B$343:$B$1024,AI$2,과년도모음!$E$343:$E$1024,"해체공사")</f>
        <v/>
      </c>
      <c r="AJ21" s="9">
        <f>COUNTIFS(과년도모음!$B$343:$B$1024,AJ$2,과년도모음!$E$343:$E$1024,"해체공사")</f>
        <v/>
      </c>
      <c r="AK21" s="9">
        <f>COUNTIFS(과년도모음!$B$343:$B$1024,AK$2,과년도모음!$E$343:$E$1024,"해체공사")</f>
        <v/>
      </c>
      <c r="AL21" s="16" t="n"/>
    </row>
    <row r="22">
      <c r="A22" s="15" t="n">
        <v>20</v>
      </c>
      <c r="B22" s="111" t="inlineStr">
        <is>
          <t>시사이슈</t>
        </is>
      </c>
      <c r="C22" s="111">
        <f>SUM(E22:AK22)</f>
        <v/>
      </c>
      <c r="D22" s="112" t="n"/>
      <c r="E22" s="113" t="n"/>
      <c r="F22" s="9">
        <f>COUNTIFS(과년도모음!$B$1:$B$1024,F$2,과년도모음!$E$1:$E$1024,"시사 이슈 문제")</f>
        <v/>
      </c>
      <c r="G22" s="9">
        <f>COUNTIFS(과년도모음!$B$1:$B$1024,G$2,과년도모음!$E$1:$E$1024,"시사 이슈 문제")</f>
        <v/>
      </c>
      <c r="H22" s="9">
        <f>COUNTIFS(과년도모음!$B$1:$B$1024,H$2,과년도모음!$E$1:$E$1024,"시사 이슈 문제")</f>
        <v/>
      </c>
      <c r="I22" s="9">
        <f>COUNTIFS(과년도모음!$B$1:$B$1024,I$2,과년도모음!$E$1:$E$1024,"시사 이슈 문제")</f>
        <v/>
      </c>
      <c r="J22" s="9">
        <f>COUNTIFS(과년도모음!$B$1:$B$1024,J$2,과년도모음!$E$1:$E$1024,"시사 이슈 문제")</f>
        <v/>
      </c>
      <c r="K22" s="9">
        <f>COUNTIFS(과년도모음!$B$1:$B$1024,K$2,과년도모음!$E$1:$E$1024,"시사 이슈 문제")</f>
        <v/>
      </c>
      <c r="L22" s="9">
        <f>COUNTIFS(과년도모음!$B$1:$B$1024,L$2,과년도모음!$E$1:$E$1024,"시사 이슈 문제")</f>
        <v/>
      </c>
      <c r="M22" s="9">
        <f>COUNTIFS(과년도모음!$B$1:$B$1024,M$2,과년도모음!$E$1:$E$1024,"시사 이슈 문제")</f>
        <v/>
      </c>
      <c r="N22" s="9">
        <f>COUNTIFS(과년도모음!$B$281:$B$1024,N$2,과년도모음!$E$281:$E$1024,"시사 이슈 문제")</f>
        <v/>
      </c>
      <c r="O22" s="9">
        <f>COUNTIFS(과년도모음!$B$312:$B$1024,O$2,과년도모음!$E$312:$E$1024,"시사 이슈 문제")</f>
        <v/>
      </c>
      <c r="P22" s="9">
        <f>COUNTIFS(과년도모음!$B$343:$B$1024,P$2,과년도모음!$E$343:$E$1024,"시사 이슈 문제")</f>
        <v/>
      </c>
      <c r="Q22" s="9">
        <f>COUNTIFS(과년도모음!$B$343:$B$1024,Q$2,과년도모음!$E$343:$E$1024,"시사 이슈 문제")</f>
        <v/>
      </c>
      <c r="R22" s="9">
        <f>COUNTIFS(과년도모음!$B$343:$B$1024,R$2,과년도모음!$E$343:$E$1024,"시사 이슈 문제")</f>
        <v/>
      </c>
      <c r="S22" s="9">
        <f>COUNTIFS(과년도모음!$B$343:$B$1024,S$2,과년도모음!$E$343:$E$1024,"시사 이슈 문제")</f>
        <v/>
      </c>
      <c r="T22" s="9">
        <f>COUNTIFS(과년도모음!$B$343:$B$1024,T$2,과년도모음!$E$343:$E$1024,"시사 이슈 문제")</f>
        <v/>
      </c>
      <c r="U22" s="9">
        <f>COUNTIFS(과년도모음!$B$343:$B$1024,U$2,과년도모음!$E$343:$E$1024,"시사 이슈 문제")</f>
        <v/>
      </c>
      <c r="V22" s="9">
        <f>COUNTIFS(과년도모음!$B$343:$B$1024,V$2,과년도모음!$E$343:$E$1024,"시사 이슈 문제")</f>
        <v/>
      </c>
      <c r="W22" s="9">
        <f>COUNTIFS(과년도모음!$B$343:$B$1024,W$2,과년도모음!$E$343:$E$1024,"시사 이슈 문제")</f>
        <v/>
      </c>
      <c r="X22" s="9">
        <f>COUNTIFS(과년도모음!$B$343:$B$1024,X$2,과년도모음!$E$343:$E$1024,"시사 이슈 문제")</f>
        <v/>
      </c>
      <c r="Y22" s="9">
        <f>COUNTIFS(과년도모음!$B$343:$B$1024,Y$2,과년도모음!$E$343:$E$1024,"시사 이슈 문제")</f>
        <v/>
      </c>
      <c r="Z22" s="9">
        <f>COUNTIFS(과년도모음!$B$343:$B$1024,Z$2,과년도모음!$E$343:$E$1024,"시사 이슈 문제")</f>
        <v/>
      </c>
      <c r="AA22" s="9">
        <f>COUNTIFS(과년도모음!$B$343:$B$1024,AA$2,과년도모음!$E$343:$E$1024,"시사 이슈 문제")</f>
        <v/>
      </c>
      <c r="AB22" s="9">
        <f>COUNTIFS(과년도모음!$B$343:$B$1024,AB$2,과년도모음!$E$343:$E$1024,"시사 이슈 문제")</f>
        <v/>
      </c>
      <c r="AC22" s="9">
        <f>COUNTIFS(과년도모음!$B$343:$B$1024,AC$2,과년도모음!$E$343:$E$1024,"시사 이슈 문제")</f>
        <v/>
      </c>
      <c r="AD22" s="9">
        <f>COUNTIFS(과년도모음!$B$343:$B$1024,AD$2,과년도모음!$E$343:$E$1024,"시사 이슈 문제")</f>
        <v/>
      </c>
      <c r="AE22" s="9">
        <f>COUNTIFS(과년도모음!$B$343:$B$1024,AE$2,과년도모음!$E$343:$E$1024,"시사 이슈 문제")</f>
        <v/>
      </c>
      <c r="AF22" s="9">
        <f>COUNTIFS(과년도모음!$B$343:$B$1024,AF$2,과년도모음!$E$343:$E$1024,"시사 이슈 문제")</f>
        <v/>
      </c>
      <c r="AG22" s="9">
        <f>COUNTIFS(과년도모음!$B$343:$B$1024,AG$2,과년도모음!$E$343:$E$1024,"시사 이슈 문제")</f>
        <v/>
      </c>
      <c r="AH22" s="9">
        <f>COUNTIFS(과년도모음!$B$343:$B$1024,AH$2,과년도모음!$E$343:$E$1024,"시사 이슈 문제")</f>
        <v/>
      </c>
      <c r="AI22" s="9">
        <f>COUNTIFS(과년도모음!$B$343:$B$1024,AI$2,과년도모음!$E$343:$E$1024,"시사 이슈 문제")</f>
        <v/>
      </c>
      <c r="AJ22" s="9">
        <f>COUNTIFS(과년도모음!$B$343:$B$1024,AJ$2,과년도모음!$E$343:$E$1024,"시사 이슈 문제")</f>
        <v/>
      </c>
      <c r="AK22" s="9">
        <f>COUNTIFS(과년도모음!$B$343:$B$1024,AK$2,과년도모음!$E$343:$E$1024,"시사 이슈 문제")</f>
        <v/>
      </c>
      <c r="AL22" s="16" t="n"/>
    </row>
    <row r="23">
      <c r="A23" s="15" t="n">
        <v>21</v>
      </c>
      <c r="B23" s="111" t="inlineStr">
        <is>
          <t>기타(댐 제방 항만)</t>
        </is>
      </c>
      <c r="C23" s="111">
        <f>SUM(E23:AK23)</f>
        <v/>
      </c>
      <c r="D23" s="112" t="n"/>
      <c r="E23" s="113" t="n"/>
      <c r="F23" s="9">
        <f>COUNTIFS(과년도모음!$B$1:$B$1024,F$2,과년도모음!$E$1:$E$1024,"제방 댐 항만")+COUNTIFS(과년도모음!$B$1:$B$1024,F$27,과년도모음!$E$1:$E$1024,"기타")</f>
        <v/>
      </c>
      <c r="G23" s="9">
        <f>COUNTIFS(과년도모음!$B$1:$B$1024,G$2,과년도모음!$E$1:$E$1024,"제방 댐 항만")+COUNTIFS(과년도모음!$B$1:$B$1024,G$27,과년도모음!$E$1:$E$1024,"기타")</f>
        <v/>
      </c>
      <c r="H23" s="9">
        <f>COUNTIFS(과년도모음!$B$1:$B$1024,H$2,과년도모음!$E$1:$E$1024,"제방 댐 항만")+COUNTIFS(과년도모음!$B$1:$B$1024,H$27,과년도모음!$E$1:$E$1024,"기타")</f>
        <v/>
      </c>
      <c r="I23" s="9">
        <f>COUNTIFS(과년도모음!$B$1:$B$1024,I$2,과년도모음!$E$1:$E$1024,"제방 댐 항만")+COUNTIFS(과년도모음!$B$1:$B$1024,I$27,과년도모음!$E$1:$E$1024,"기타")</f>
        <v/>
      </c>
      <c r="J23" s="9">
        <f>COUNTIFS(과년도모음!$B$1:$B$1024,J$2,과년도모음!$E$1:$E$1024,"제방 댐 항만")+COUNTIFS(과년도모음!$B$1:$B$1024,J$27,과년도모음!$E$1:$E$1024,"기타")</f>
        <v/>
      </c>
      <c r="K23" s="9">
        <f>COUNTIFS(과년도모음!$B$1:$B$1024,K$2,과년도모음!$E$1:$E$1024,"제방 댐 항만")+COUNTIFS(과년도모음!$B$1:$B$1024,K$27,과년도모음!$E$1:$E$1024,"기타")</f>
        <v/>
      </c>
      <c r="L23" s="9">
        <f>COUNTIFS(과년도모음!$B$1:$B$1024,L$2,과년도모음!$E$1:$E$1024,"제방 댐 항만")+COUNTIFS(과년도모음!$B$1:$B$1024,L$27,과년도모음!$E$1:$E$1024,"기타")</f>
        <v/>
      </c>
      <c r="M23" s="9">
        <f>COUNTIFS(과년도모음!$B$1:$B$1024,M$2,과년도모음!$E$1:$E$1024,"제방 댐 항만")+COUNTIFS(과년도모음!$B$1:$B$1024,M$27,과년도모음!$E$1:$E$1024,"기타")</f>
        <v/>
      </c>
      <c r="N23" s="9">
        <f>COUNTIFS(과년도모음!$B$281:$B$1024,N$2,과년도모음!$E$281:$E$1024,"제방 댐 항만")+COUNTIFS(과년도모음!$B$281:$B$1024,N$27,과년도모음!$E$281:$E$1024,"기타")</f>
        <v/>
      </c>
      <c r="O23" s="9">
        <f>COUNTIFS(과년도모음!$B$312:$B$1024,O$2,과년도모음!$E$312:$E$1024,"제방 댐 항만")+COUNTIFS(과년도모음!$B$312:$B$1024,O$27,과년도모음!$E$312:$E$1024,"기타")</f>
        <v/>
      </c>
      <c r="P23" s="9">
        <f>COUNTIFS(과년도모음!$B$343:$B$1024,P$2,과년도모음!$E$343:$E$1024,"제방 댐 항만")+COUNTIFS(과년도모음!$B$343:$B$1024,P$27,과년도모음!$E$343:$E$1024,"기타")</f>
        <v/>
      </c>
      <c r="Q23" s="9">
        <f>COUNTIFS(과년도모음!$B$343:$B$1024,Q$2,과년도모음!$E$343:$E$1024,"제방 댐 항만")+COUNTIFS(과년도모음!$B$343:$B$1024,#REF!,과년도모음!$E$343:$E$1024,"기타")</f>
        <v/>
      </c>
      <c r="R23" s="9">
        <f>COUNTIFS(과년도모음!$B$343:$B$1024,R$2,과년도모음!$E$343:$E$1024,"제방 댐 항만")+COUNTIFS(과년도모음!$B$343:$B$1024,#REF!,과년도모음!$E$343:$E$1024,"기타")</f>
        <v/>
      </c>
      <c r="S23" s="9">
        <f>COUNTIFS(과년도모음!$B$343:$B$1024,S$2,과년도모음!$E$343:$E$1024,"제방 댐 항만")+COUNTIFS(과년도모음!$B$343:$B$1024,#REF!,과년도모음!$E$343:$E$1024,"기타")</f>
        <v/>
      </c>
      <c r="T23" s="9">
        <f>COUNTIFS(과년도모음!$B$343:$B$1024,T$2,과년도모음!$E$343:$E$1024,"제방 댐 항만")+COUNTIFS(과년도모음!$B$343:$B$1024,#REF!,과년도모음!$E$343:$E$1024,"기타")</f>
        <v/>
      </c>
      <c r="U23" s="9">
        <f>COUNTIFS(과년도모음!$B$343:$B$1024,U$2,과년도모음!$E$343:$E$1024,"제방 댐 항만")+COUNTIFS(과년도모음!$B$343:$B$1024,#REF!,과년도모음!$E$343:$E$1024,"기타")</f>
        <v/>
      </c>
      <c r="V23" s="9">
        <f>COUNTIFS(과년도모음!$B$343:$B$1024,V$2,과년도모음!$E$343:$E$1024,"제방 댐 항만")+COUNTIFS(과년도모음!$B$343:$B$1024,#REF!,과년도모음!$E$343:$E$1024,"기타")</f>
        <v/>
      </c>
      <c r="W23" s="9">
        <f>COUNTIFS(과년도모음!$B$343:$B$1024,W$2,과년도모음!$E$343:$E$1024,"제방 댐 항만")+COUNTIFS(과년도모음!$B$343:$B$1024,#REF!,과년도모음!$E$343:$E$1024,"기타")</f>
        <v/>
      </c>
      <c r="X23" s="9">
        <f>COUNTIFS(과년도모음!$B$343:$B$1024,X$2,과년도모음!$E$343:$E$1024,"제방 댐 항만")+COUNTIFS(과년도모음!$B$343:$B$1024,X$2,과년도모음!$E$343:$E$1024,"기타")</f>
        <v/>
      </c>
      <c r="Y23" s="9">
        <f>COUNTIFS(과년도모음!$B$343:$B$1024,Y$2,과년도모음!$E$343:$E$1024,"제방 댐 항만")+COUNTIFS(과년도모음!$B$343:$B$1024,Y$2,과년도모음!$E$343:$E$1024,"기타")</f>
        <v/>
      </c>
      <c r="Z23" s="9">
        <f>COUNTIFS(과년도모음!$B$343:$B$1024,Z$2,과년도모음!$E$343:$E$1024,"제방 댐 항만")+COUNTIFS(과년도모음!$B$343:$B$1024,Z$2,과년도모음!$E$343:$E$1024,"기타")</f>
        <v/>
      </c>
      <c r="AA23" s="9">
        <f>COUNTIFS(과년도모음!$B$343:$B$1024,AA$2,과년도모음!$E$343:$E$1024,"제방 댐 항만")+COUNTIFS(과년도모음!$B$343:$B$1024,AA$2,과년도모음!$E$343:$E$1024,"기타")</f>
        <v/>
      </c>
      <c r="AB23" s="9">
        <f>COUNTIFS(과년도모음!$B$343:$B$1024,AB$2,과년도모음!$E$343:$E$1024,"제방 댐 항만")+COUNTIFS(과년도모음!$B$343:$B$1024,AB$2,과년도모음!$E$343:$E$1024,"기타")</f>
        <v/>
      </c>
      <c r="AC23" s="9">
        <f>COUNTIFS(과년도모음!$B$343:$B$1024,AC$2,과년도모음!$E$343:$E$1024,"제방 댐 항만")+COUNTIFS(과년도모음!$B$343:$B$1024,AC$2,과년도모음!$E$343:$E$1024,"기타")</f>
        <v/>
      </c>
      <c r="AD23" s="9">
        <f>COUNTIFS(과년도모음!$B$343:$B$1024,AD$2,과년도모음!$E$343:$E$1024,"제방 댐 항만")+COUNTIFS(과년도모음!$B$343:$B$1024,AD$2,과년도모음!$E$343:$E$1024,"기타")</f>
        <v/>
      </c>
      <c r="AE23" s="9">
        <f>COUNTIFS(과년도모음!$B$343:$B$1024,AE$2,과년도모음!$E$343:$E$1024,"제방 댐 항만")+COUNTIFS(과년도모음!$B$343:$B$1024,AE$2,과년도모음!$E$343:$E$1024,"기타")</f>
        <v/>
      </c>
      <c r="AF23" s="9">
        <f>COUNTIFS(과년도모음!$B$343:$B$1024,AF$2,과년도모음!$E$343:$E$1024,"제방 댐 항만")+COUNTIFS(과년도모음!$B$343:$B$1024,AF$2,과년도모음!$E$343:$E$1024,"기타")</f>
        <v/>
      </c>
      <c r="AG23" s="9">
        <f>COUNTIFS(과년도모음!$B$343:$B$1024,AG$2,과년도모음!$E$343:$E$1024,"제방 댐 항만")+COUNTIFS(과년도모음!$B$343:$B$1024,AG$2,과년도모음!$E$343:$E$1024,"기타")</f>
        <v/>
      </c>
      <c r="AH23" s="9">
        <f>COUNTIFS(과년도모음!$B$343:$B$1024,AH$2,과년도모음!$E$343:$E$1024,"제방 댐 항만")+COUNTIFS(과년도모음!$B$343:$B$1024,AH$2,과년도모음!$E$343:$E$1024,"기타")</f>
        <v/>
      </c>
      <c r="AI23" s="9">
        <f>COUNTIFS(과년도모음!$B$343:$B$1024,AI$2,과년도모음!$E$343:$E$1024,"제방 댐 항만")+COUNTIFS(과년도모음!$B$343:$B$1024,AI$2,과년도모음!$E$343:$E$1024,"기타")</f>
        <v/>
      </c>
      <c r="AJ23" s="9">
        <f>COUNTIFS(과년도모음!$B$343:$B$1024,AJ$2,과년도모음!$E$343:$E$1024,"제방 댐 항만")+COUNTIFS(과년도모음!$B$343:$B$1024,AJ$2,과년도모음!$E$343:$E$1024,"기타")</f>
        <v/>
      </c>
      <c r="AK23" s="9">
        <f>COUNTIFS(과년도모음!$B$343:$B$1024,AK$2,과년도모음!$E$343:$E$1024,"제방 댐 항만")+COUNTIFS(과년도모음!$B$343:$B$1024,AK$2,과년도모음!$E$343:$E$1024,"기타")</f>
        <v/>
      </c>
      <c r="AL23" s="16" t="n"/>
    </row>
    <row r="24" ht="17.25" customHeight="1" s="77" thickBot="1">
      <c r="A24" s="17" t="n"/>
      <c r="B24" s="117" t="inlineStr">
        <is>
          <t>합계</t>
        </is>
      </c>
      <c r="C24" s="117">
        <f>SUM(C3:C23)</f>
        <v/>
      </c>
      <c r="D24" s="118" t="n"/>
      <c r="E24" s="119" t="n"/>
      <c r="F24" s="117">
        <f>SUM(F3:F23)</f>
        <v/>
      </c>
      <c r="G24" s="117">
        <f>SUM(G3:G23)</f>
        <v/>
      </c>
      <c r="H24" s="117">
        <f>SUM(H3:H23)</f>
        <v/>
      </c>
      <c r="I24" s="117">
        <f>SUM(I3:I23)</f>
        <v/>
      </c>
      <c r="J24" s="117">
        <f>SUM(J3:J23)</f>
        <v/>
      </c>
      <c r="K24" s="117">
        <f>SUM(K3:K23)</f>
        <v/>
      </c>
      <c r="L24" s="117">
        <f>SUM(L3:L23)</f>
        <v/>
      </c>
      <c r="M24" s="117">
        <f>SUM(M3:M23)</f>
        <v/>
      </c>
      <c r="N24" s="117">
        <f>SUM(N3:N23)</f>
        <v/>
      </c>
      <c r="O24" s="117">
        <f>SUM(O3:O23)</f>
        <v/>
      </c>
      <c r="P24" s="117">
        <f>SUM(P3:P23)</f>
        <v/>
      </c>
      <c r="Q24" s="117">
        <f>SUM(Q3:Q23)</f>
        <v/>
      </c>
      <c r="R24" s="117">
        <f>SUM(R3:R23)</f>
        <v/>
      </c>
      <c r="S24" s="117">
        <f>SUM(S3:S23)</f>
        <v/>
      </c>
      <c r="T24" s="117">
        <f>SUM(T3:T23)</f>
        <v/>
      </c>
      <c r="U24" s="117">
        <f>SUM(U3:U23)</f>
        <v/>
      </c>
      <c r="V24" s="117">
        <f>SUM(V3:V23)</f>
        <v/>
      </c>
      <c r="W24" s="117">
        <f>SUM(W3:W23)</f>
        <v/>
      </c>
      <c r="X24" s="117">
        <f>SUM(X3:X23)</f>
        <v/>
      </c>
      <c r="Y24" s="117">
        <f>SUM(Y3:Y23)</f>
        <v/>
      </c>
      <c r="Z24" s="117">
        <f>SUM(Z3:Z23)</f>
        <v/>
      </c>
      <c r="AA24" s="117">
        <f>SUM(AA3:AA23)</f>
        <v/>
      </c>
      <c r="AB24" s="117">
        <f>SUM(AB3:AB23)</f>
        <v/>
      </c>
      <c r="AC24" s="117">
        <f>SUM(AC3:AC23)</f>
        <v/>
      </c>
      <c r="AD24" s="117">
        <f>SUM(AD3:AD23)</f>
        <v/>
      </c>
      <c r="AE24" s="117">
        <f>SUM(AE3:AE23)</f>
        <v/>
      </c>
      <c r="AF24" s="117">
        <f>SUM(AF3:AF23)</f>
        <v/>
      </c>
      <c r="AG24" s="117">
        <f>SUM(AG3:AG23)</f>
        <v/>
      </c>
      <c r="AH24" s="117">
        <f>SUM(AH3:AH23)</f>
        <v/>
      </c>
      <c r="AI24" s="117">
        <f>SUM(AI3:AI23)</f>
        <v/>
      </c>
      <c r="AJ24" s="117">
        <f>SUM(AJ3:AJ23)</f>
        <v/>
      </c>
      <c r="AK24" s="117">
        <f>SUM(AK3:AK23)</f>
        <v/>
      </c>
      <c r="AL24" s="18" t="n"/>
    </row>
    <row r="26" ht="20.25" customHeight="1" s="77" thickBot="1">
      <c r="A26" s="10" t="inlineStr">
        <is>
          <t>□ 건설안전기술사 과년도 출제빈도 順 분석(106회~137회)</t>
        </is>
      </c>
    </row>
    <row r="27">
      <c r="A27" s="19" t="inlineStr">
        <is>
          <t>RANK</t>
        </is>
      </c>
      <c r="B27" s="114" t="inlineStr">
        <is>
          <t>분류</t>
        </is>
      </c>
      <c r="C27" s="114" t="inlineStr">
        <is>
          <t>출제확율</t>
        </is>
      </c>
      <c r="D27" s="114" t="inlineStr">
        <is>
          <t>평균</t>
        </is>
      </c>
      <c r="E27" s="114" t="inlineStr">
        <is>
          <t>합계</t>
        </is>
      </c>
      <c r="F27" s="120" t="n">
        <v>137</v>
      </c>
      <c r="G27" s="120" t="n">
        <v>136</v>
      </c>
      <c r="H27" s="59" t="inlineStr">
        <is>
          <t>135회</t>
        </is>
      </c>
      <c r="I27" s="120" t="n">
        <v>134</v>
      </c>
      <c r="J27" s="120" t="n">
        <v>133</v>
      </c>
      <c r="K27" s="120" t="n">
        <v>132</v>
      </c>
      <c r="L27" s="120" t="n">
        <v>131</v>
      </c>
      <c r="M27" s="120" t="n">
        <v>130</v>
      </c>
      <c r="N27" s="120" t="n">
        <v>129</v>
      </c>
      <c r="O27" s="120" t="n">
        <v>128</v>
      </c>
      <c r="P27" s="120" t="n">
        <v>127</v>
      </c>
      <c r="Q27" s="120" t="n">
        <v>126</v>
      </c>
      <c r="R27" s="120" t="n">
        <v>125</v>
      </c>
      <c r="S27" s="120" t="n">
        <v>124</v>
      </c>
      <c r="T27" s="120" t="n">
        <v>123</v>
      </c>
      <c r="U27" s="120" t="n">
        <v>122</v>
      </c>
      <c r="V27" s="120" t="n">
        <v>121</v>
      </c>
      <c r="W27" s="120" t="n">
        <v>120</v>
      </c>
      <c r="X27" s="120" t="n">
        <v>119</v>
      </c>
      <c r="Y27" s="120" t="n">
        <v>118</v>
      </c>
      <c r="Z27" s="120" t="n">
        <v>117</v>
      </c>
      <c r="AA27" s="120" t="n">
        <v>116</v>
      </c>
      <c r="AB27" s="120" t="n">
        <v>115</v>
      </c>
      <c r="AC27" s="120" t="n">
        <v>114</v>
      </c>
      <c r="AD27" s="120" t="n">
        <v>113</v>
      </c>
      <c r="AE27" s="120" t="n">
        <v>112</v>
      </c>
      <c r="AF27" s="120" t="n">
        <v>111</v>
      </c>
      <c r="AG27" s="120" t="n">
        <v>110</v>
      </c>
      <c r="AH27" s="120" t="n">
        <v>109</v>
      </c>
      <c r="AI27" s="120" t="n">
        <v>108</v>
      </c>
      <c r="AJ27" s="120" t="n">
        <v>107</v>
      </c>
      <c r="AK27" s="120" t="n">
        <v>106</v>
      </c>
      <c r="AL27" s="14" t="inlineStr">
        <is>
          <t>비고</t>
        </is>
      </c>
    </row>
    <row r="28">
      <c r="A28" s="20">
        <f>RANK(E28,$E$28:$E$48)</f>
        <v/>
      </c>
      <c r="B28" s="111" t="inlineStr">
        <is>
          <t>산업안전보건법</t>
        </is>
      </c>
      <c r="C28" s="121">
        <f>E28/$E$49</f>
        <v/>
      </c>
      <c r="D28" s="122">
        <f>E28/22</f>
        <v/>
      </c>
      <c r="E28" s="111">
        <f>SUM(F28:AK28)</f>
        <v/>
      </c>
      <c r="F28" s="9">
        <f>COUNTIFS(과년도모음!$B$1:$B$1024,F$2,과년도모음!$E$1:$E$1024,"산안법")</f>
        <v/>
      </c>
      <c r="G28" s="9">
        <f>COUNTIFS(과년도모음!$B$1:$B$1024,G$2,과년도모음!$E$1:$E$1024,"산안법")</f>
        <v/>
      </c>
      <c r="H28" s="9">
        <f>COUNTIFS(과년도모음!$B$1:$B$1024,H$2,과년도모음!$E$1:$E$1024,"산안법")</f>
        <v/>
      </c>
      <c r="I28" s="9">
        <f>COUNTIFS(과년도모음!$B$1:$B$1024,I$2,과년도모음!$E$1:$E$1024,"산안법")</f>
        <v/>
      </c>
      <c r="J28" s="9">
        <f>COUNTIFS(과년도모음!$B$1:$B$1024,J$2,과년도모음!$E$1:$E$1024,"산안법")</f>
        <v/>
      </c>
      <c r="K28" s="9">
        <f>COUNTIFS(과년도모음!$B$1:$B$1024,K$2,과년도모음!$E$1:$E$1024,"산안법")</f>
        <v/>
      </c>
      <c r="L28" s="9">
        <f>COUNTIFS(과년도모음!$B$1:$B$1024,L$2,과년도모음!$E$1:$E$1024,"산안법")</f>
        <v/>
      </c>
      <c r="M28" s="9">
        <f>COUNTIFS(과년도모음!$B$1:$B$1024,M$2,과년도모음!$E$1:$E$1024,"산안법")</f>
        <v/>
      </c>
      <c r="N28" s="9">
        <f>COUNTIFS(과년도모음!$B$281:$B$1024,N$2,과년도모음!$E$281:$E$1024,"산안법")</f>
        <v/>
      </c>
      <c r="O28" s="9">
        <f>COUNTIFS(과년도모음!$B$312:$B$1024,O$2,과년도모음!$E$312:$E$1024,"산안법")</f>
        <v/>
      </c>
      <c r="P28" s="9">
        <f>COUNTIFS(과년도모음!$B$343:$B$1024,P$2,과년도모음!$E$343:$E$1024,"산안법")</f>
        <v/>
      </c>
      <c r="Q28" s="9">
        <f>COUNTIFS(과년도모음!$B$343:$B$1024,Q$2,과년도모음!$E$343:$E$1024,"산안법")</f>
        <v/>
      </c>
      <c r="R28" s="9">
        <f>COUNTIFS(과년도모음!$B$405:$B$1024,R$2,과년도모음!$E$405:$E$1024,"산안법")</f>
        <v/>
      </c>
      <c r="S28" s="9">
        <f>COUNTIFS(과년도모음!$B$405:$B$1024,S$2,과년도모음!$E$405:$E$1024,"산안법")</f>
        <v/>
      </c>
      <c r="T28" s="9">
        <f>COUNTIFS(과년도모음!$B$405:$B$1024,T$2,과년도모음!$E$405:$E$1024,"산안법")</f>
        <v/>
      </c>
      <c r="U28" s="9">
        <f>COUNTIFS(과년도모음!$B$405:$B$1024,U$2,과년도모음!$E$405:$E$1024,"산안법")</f>
        <v/>
      </c>
      <c r="V28" s="9">
        <f>COUNTIFS(과년도모음!$B$405:$B$1024,V$2,과년도모음!$E$405:$E$1024,"산안법")</f>
        <v/>
      </c>
      <c r="W28" s="9">
        <f>COUNTIFS(과년도모음!$B$405:$B$1024,W$2,과년도모음!$E$405:$E$1024,"산안법")</f>
        <v/>
      </c>
      <c r="X28" s="9">
        <f>COUNTIFS(과년도모음!$B$405:$B$1024,X$2,과년도모음!$E$405:$E$1024,"산안법")</f>
        <v/>
      </c>
      <c r="Y28" s="9">
        <f>COUNTIFS(과년도모음!$B$405:$B$1024,Y$2,과년도모음!$E$405:$E$1024,"산안법")</f>
        <v/>
      </c>
      <c r="Z28" s="9">
        <f>COUNTIFS(과년도모음!$B$405:$B$1024,Z$2,과년도모음!$E$405:$E$1024,"산안법")</f>
        <v/>
      </c>
      <c r="AA28" s="9">
        <f>COUNTIFS(과년도모음!$B$405:$B$1024,AA$2,과년도모음!$E$405:$E$1024,"산안법")</f>
        <v/>
      </c>
      <c r="AB28" s="9">
        <f>COUNTIFS(과년도모음!$B$405:$B$1024,AB$2,과년도모음!$E$405:$E$1024,"산안법")</f>
        <v/>
      </c>
      <c r="AC28" s="9">
        <f>COUNTIFS(과년도모음!$B$405:$B$1024,AC$2,과년도모음!$E$405:$E$1024,"산안법")</f>
        <v/>
      </c>
      <c r="AD28" s="9">
        <f>COUNTIFS(과년도모음!$B$405:$B$1024,AD$2,과년도모음!$E$405:$E$1024,"산안법")</f>
        <v/>
      </c>
      <c r="AE28" s="9">
        <f>COUNTIFS(과년도모음!$B$405:$B$1024,AE$2,과년도모음!$E$405:$E$1024,"산안법")</f>
        <v/>
      </c>
      <c r="AF28" s="9">
        <f>COUNTIFS(과년도모음!$B$405:$B$1024,AF$2,과년도모음!$E$405:$E$1024,"산안법")</f>
        <v/>
      </c>
      <c r="AG28" s="9">
        <f>COUNTIFS(과년도모음!$B$405:$B$1024,AG$2,과년도모음!$E$405:$E$1024,"산안법")</f>
        <v/>
      </c>
      <c r="AH28" s="9">
        <f>COUNTIFS(과년도모음!$B$405:$B$1024,AH$2,과년도모음!$E$405:$E$1024,"산안법")</f>
        <v/>
      </c>
      <c r="AI28" s="9">
        <f>COUNTIFS(과년도모음!$B$405:$B$1024,AI$2,과년도모음!$E$405:$E$1024,"산안법")</f>
        <v/>
      </c>
      <c r="AJ28" s="9">
        <f>COUNTIFS(과년도모음!$B$405:$B$1024,AJ$2,과년도모음!$E$405:$E$1024,"산안법")</f>
        <v/>
      </c>
      <c r="AK28" s="9">
        <f>COUNTIFS(과년도모음!$B$405:$B$1024,AK$2,과년도모음!$E$405:$E$1024,"산안법")</f>
        <v/>
      </c>
      <c r="AL28" s="16" t="n"/>
    </row>
    <row r="29">
      <c r="A29" s="20">
        <f>RANK(E29,$E$28:$E$48)</f>
        <v/>
      </c>
      <c r="B29" s="111" t="inlineStr">
        <is>
          <t>안전관리론</t>
        </is>
      </c>
      <c r="C29" s="121">
        <f>E29/$E$49</f>
        <v/>
      </c>
      <c r="D29" s="122">
        <f>E29/22</f>
        <v/>
      </c>
      <c r="E29" s="111">
        <f>SUM(F29:AK29)</f>
        <v/>
      </c>
      <c r="F29" s="9">
        <f>COUNTIFS(과년도모음!$B$1:$B$1024,F$2,과년도모음!$E$1:$E$1024,"안전관리론")</f>
        <v/>
      </c>
      <c r="G29" s="9">
        <f>COUNTIFS(과년도모음!$B$1:$B$1024,G$2,과년도모음!$E$1:$E$1024,"안전관리론")</f>
        <v/>
      </c>
      <c r="H29" s="9">
        <f>COUNTIFS(과년도모음!$B$1:$B$1024,H$2,과년도모음!$E$1:$E$1024,"안전관리론")</f>
        <v/>
      </c>
      <c r="I29" s="9">
        <f>COUNTIFS(과년도모음!$B$1:$B$1024,I$2,과년도모음!$E$1:$E$1024,"안전관리론")</f>
        <v/>
      </c>
      <c r="J29" s="9">
        <f>COUNTIFS(과년도모음!$B$1:$B$1024,J$2,과년도모음!$E$1:$E$1024,"안전관리론")</f>
        <v/>
      </c>
      <c r="K29" s="9">
        <f>COUNTIFS(과년도모음!$B$1:$B$1024,K$2,과년도모음!$E$1:$E$1024,"안전관리론")</f>
        <v/>
      </c>
      <c r="L29" s="9">
        <f>COUNTIFS(과년도모음!$B$1:$B$1024,L$2,과년도모음!$E$1:$E$1024,"안전관리론")</f>
        <v/>
      </c>
      <c r="M29" s="9">
        <f>COUNTIFS(과년도모음!$B$1:$B$1024,M$2,과년도모음!$E$1:$E$1024,"안전관리론")</f>
        <v/>
      </c>
      <c r="N29" s="9">
        <f>COUNTIFS(과년도모음!$B$281:$B$1024,N$2,과년도모음!$E$281:$E$1024,"안전관리론")</f>
        <v/>
      </c>
      <c r="O29" s="9">
        <f>COUNTIFS(과년도모음!$B$312:$B$1024,O$2,과년도모음!$E$312:$E$1024,"안전관리론")</f>
        <v/>
      </c>
      <c r="P29" s="9">
        <f>COUNTIFS(과년도모음!$B$343:$B$1024,P$2,과년도모음!$E$343:$E$1024,"안전관리론")</f>
        <v/>
      </c>
      <c r="Q29" s="9">
        <f>COUNTIFS(과년도모음!$B$343:$B$1024,Q$2,과년도모음!$E$343:$E$1024,"안전관리론")</f>
        <v/>
      </c>
      <c r="R29" s="9">
        <f>COUNTIFS(과년도모음!$B$405:$B$1024,R$2,과년도모음!$E$405:$E$1024,"안전관리론")</f>
        <v/>
      </c>
      <c r="S29" s="9">
        <f>COUNTIFS(과년도모음!$B$405:$B$1024,S$2,과년도모음!$E$405:$E$1024,"안전관리론")</f>
        <v/>
      </c>
      <c r="T29" s="9">
        <f>COUNTIFS(과년도모음!$B$405:$B$1024,T$2,과년도모음!$E$405:$E$1024,"안전관리론")</f>
        <v/>
      </c>
      <c r="U29" s="9">
        <f>COUNTIFS(과년도모음!$B$405:$B$1024,U$2,과년도모음!$E$405:$E$1024,"안전관리론")</f>
        <v/>
      </c>
      <c r="V29" s="9">
        <f>COUNTIFS(과년도모음!$B$405:$B$1024,V$2,과년도모음!$E$405:$E$1024,"안전관리론")</f>
        <v/>
      </c>
      <c r="W29" s="9">
        <f>COUNTIFS(과년도모음!$B$405:$B$1024,W$2,과년도모음!$E$405:$E$1024,"안전관리론")</f>
        <v/>
      </c>
      <c r="X29" s="9">
        <f>COUNTIFS(과년도모음!$B$405:$B$1024,X$2,과년도모음!$E$405:$E$1024,"안전관리론")</f>
        <v/>
      </c>
      <c r="Y29" s="9">
        <f>COUNTIFS(과년도모음!$B$405:$B$1024,Y$2,과년도모음!$E$405:$E$1024,"안전관리론")</f>
        <v/>
      </c>
      <c r="Z29" s="9">
        <f>COUNTIFS(과년도모음!$B$405:$B$1024,Z$2,과년도모음!$E$405:$E$1024,"안전관리론")</f>
        <v/>
      </c>
      <c r="AA29" s="9">
        <f>COUNTIFS(과년도모음!$B$405:$B$1024,AA$2,과년도모음!$E$405:$E$1024,"안전관리론")</f>
        <v/>
      </c>
      <c r="AB29" s="9">
        <f>COUNTIFS(과년도모음!$B$405:$B$1024,AB$2,과년도모음!$E$405:$E$1024,"안전관리론")</f>
        <v/>
      </c>
      <c r="AC29" s="9">
        <f>COUNTIFS(과년도모음!$B$405:$B$1024,AC$2,과년도모음!$E$405:$E$1024,"안전관리론")</f>
        <v/>
      </c>
      <c r="AD29" s="9">
        <f>COUNTIFS(과년도모음!$B$405:$B$1024,AD$2,과년도모음!$E$405:$E$1024,"안전관리론")</f>
        <v/>
      </c>
      <c r="AE29" s="9">
        <f>COUNTIFS(과년도모음!$B$405:$B$1024,AE$2,과년도모음!$E$405:$E$1024,"안전관리론")</f>
        <v/>
      </c>
      <c r="AF29" s="9">
        <f>COUNTIFS(과년도모음!$B$405:$B$1024,AF$2,과년도모음!$E$405:$E$1024,"안전관리론")</f>
        <v/>
      </c>
      <c r="AG29" s="9">
        <f>COUNTIFS(과년도모음!$B$405:$B$1024,AG$2,과년도모음!$E$405:$E$1024,"안전관리론")</f>
        <v/>
      </c>
      <c r="AH29" s="9">
        <f>COUNTIFS(과년도모음!$B$405:$B$1024,AH$2,과년도모음!$E$405:$E$1024,"안전관리론")</f>
        <v/>
      </c>
      <c r="AI29" s="9">
        <f>COUNTIFS(과년도모음!$B$405:$B$1024,AI$2,과년도모음!$E$405:$E$1024,"안전관리론")</f>
        <v/>
      </c>
      <c r="AJ29" s="9">
        <f>COUNTIFS(과년도모음!$B$405:$B$1024,AJ$2,과년도모음!$E$405:$E$1024,"안전관리론")</f>
        <v/>
      </c>
      <c r="AK29" s="9">
        <f>COUNTIFS(과년도모음!$B$405:$B$1024,AK$2,과년도모음!$E$405:$E$1024,"안전관리론")</f>
        <v/>
      </c>
      <c r="AL29" s="16" t="n"/>
    </row>
    <row r="30">
      <c r="A30" s="20">
        <f>RANK(E30,$E$28:$E$48)</f>
        <v/>
      </c>
      <c r="B30" s="12" t="inlineStr">
        <is>
          <t>콘크리트(거푸집 동바리 철근 포함)</t>
        </is>
      </c>
      <c r="C30" s="121">
        <f>E30/$E$49</f>
        <v/>
      </c>
      <c r="D30" s="122">
        <f>E30/22</f>
        <v/>
      </c>
      <c r="E30" s="111">
        <f>SUM(F30:AK30)</f>
        <v/>
      </c>
      <c r="F30" s="9">
        <f>COUNTIFS(과년도모음!$B$1:$B$1024,F$2,과년도모음!$E$1:$E$1024,"콘크리트")</f>
        <v/>
      </c>
      <c r="G30" s="9">
        <f>COUNTIFS(과년도모음!$B$1:$B$1024,G$2,과년도모음!$E$1:$E$1024,"콘크리트")</f>
        <v/>
      </c>
      <c r="H30" s="9">
        <f>COUNTIFS(과년도모음!$B$1:$B$1024,H$2,과년도모음!$E$1:$E$1024,"콘크리트")</f>
        <v/>
      </c>
      <c r="I30" s="9">
        <f>COUNTIFS(과년도모음!$B$1:$B$1024,I$2,과년도모음!$E$1:$E$1024,"콘크리트")</f>
        <v/>
      </c>
      <c r="J30" s="9">
        <f>COUNTIFS(과년도모음!$B$1:$B$1024,J$2,과년도모음!$E$1:$E$1024,"콘크리트")</f>
        <v/>
      </c>
      <c r="K30" s="9">
        <f>COUNTIFS(과년도모음!$B$1:$B$1024,K$2,과년도모음!$E$1:$E$1024,"콘크리트")</f>
        <v/>
      </c>
      <c r="L30" s="9">
        <f>COUNTIFS(과년도모음!$B$1:$B$1024,L$2,과년도모음!$E$1:$E$1024,"콘크리트")</f>
        <v/>
      </c>
      <c r="M30" s="9">
        <f>COUNTIFS(과년도모음!$B$1:$B$1024,M$2,과년도모음!$E$1:$E$1024,"콘크리트")</f>
        <v/>
      </c>
      <c r="N30" s="9">
        <f>COUNTIFS(과년도모음!$B$281:$B$1024,N$2,과년도모음!$E$281:$E$1024,"콘크리트")</f>
        <v/>
      </c>
      <c r="O30" s="9">
        <f>COUNTIFS(과년도모음!$B$312:$B$1024,O$2,과년도모음!$E$312:$E$1024,"콘크리트")</f>
        <v/>
      </c>
      <c r="P30" s="9">
        <f>COUNTIFS(과년도모음!$B$343:$B$1024,P$2,과년도모음!$E$343:$E$1024,"콘크리트")</f>
        <v/>
      </c>
      <c r="Q30" s="9">
        <f>COUNTIFS(과년도모음!$B$343:$B$1024,Q$2,과년도모음!$E$343:$E$1024,"콘크리트")</f>
        <v/>
      </c>
      <c r="R30" s="9">
        <f>COUNTIFS(과년도모음!$B$405:$B$1024,R$2,과년도모음!$E$405:$E$1024,"콘크리트")</f>
        <v/>
      </c>
      <c r="S30" s="9">
        <f>COUNTIFS(과년도모음!$B$405:$B$1024,S$2,과년도모음!$E$405:$E$1024,"콘크리트")</f>
        <v/>
      </c>
      <c r="T30" s="9">
        <f>COUNTIFS(과년도모음!$B$405:$B$1024,T$2,과년도모음!$E$405:$E$1024,"콘크리트")</f>
        <v/>
      </c>
      <c r="U30" s="9">
        <f>COUNTIFS(과년도모음!$B$405:$B$1024,U$2,과년도모음!$E$405:$E$1024,"콘크리트")</f>
        <v/>
      </c>
      <c r="V30" s="9">
        <f>COUNTIFS(과년도모음!$B$405:$B$1024,V$2,과년도모음!$E$405:$E$1024,"콘크리트")</f>
        <v/>
      </c>
      <c r="W30" s="9">
        <f>COUNTIFS(과년도모음!$B$405:$B$1024,W$2,과년도모음!$E$405:$E$1024,"콘크리트")</f>
        <v/>
      </c>
      <c r="X30" s="9">
        <f>COUNTIFS(과년도모음!$B$405:$B$1024,X$2,과년도모음!$E$405:$E$1024,"콘크리트")</f>
        <v/>
      </c>
      <c r="Y30" s="9">
        <f>COUNTIFS(과년도모음!$B$405:$B$1024,Y$2,과년도모음!$E$405:$E$1024,"콘크리트")</f>
        <v/>
      </c>
      <c r="Z30" s="9">
        <f>COUNTIFS(과년도모음!$B$405:$B$1024,Z$2,과년도모음!$E$405:$E$1024,"콘크리트")</f>
        <v/>
      </c>
      <c r="AA30" s="9">
        <f>COUNTIFS(과년도모음!$B$405:$B$1024,AA$2,과년도모음!$E$405:$E$1024,"콘크리트")</f>
        <v/>
      </c>
      <c r="AB30" s="9">
        <f>COUNTIFS(과년도모음!$B$405:$B$1024,AB$2,과년도모음!$E$405:$E$1024,"콘크리트")</f>
        <v/>
      </c>
      <c r="AC30" s="9">
        <f>COUNTIFS(과년도모음!$B$405:$B$1024,AC$2,과년도모음!$E$405:$E$1024,"콘크리트")</f>
        <v/>
      </c>
      <c r="AD30" s="9">
        <f>COUNTIFS(과년도모음!$B$405:$B$1024,AD$2,과년도모음!$E$405:$E$1024,"콘크리트")</f>
        <v/>
      </c>
      <c r="AE30" s="9">
        <f>COUNTIFS(과년도모음!$B$405:$B$1024,AE$2,과년도모음!$E$405:$E$1024,"콘크리트")</f>
        <v/>
      </c>
      <c r="AF30" s="9">
        <f>COUNTIFS(과년도모음!$B$405:$B$1024,AF$2,과년도모음!$E$405:$E$1024,"콘크리트")</f>
        <v/>
      </c>
      <c r="AG30" s="9">
        <f>COUNTIFS(과년도모음!$B$405:$B$1024,AG$2,과년도모음!$E$405:$E$1024,"콘크리트")</f>
        <v/>
      </c>
      <c r="AH30" s="9">
        <f>COUNTIFS(과년도모음!$B$405:$B$1024,AH$2,과년도모음!$E$405:$E$1024,"콘크리트")</f>
        <v/>
      </c>
      <c r="AI30" s="9">
        <f>COUNTIFS(과년도모음!$B$405:$B$1024,AI$2,과년도모음!$E$405:$E$1024,"콘크리트")</f>
        <v/>
      </c>
      <c r="AJ30" s="9">
        <f>COUNTIFS(과년도모음!$B$405:$B$1024,AJ$2,과년도모음!$E$405:$E$1024,"콘크리트")</f>
        <v/>
      </c>
      <c r="AK30" s="9">
        <f>COUNTIFS(과년도모음!$B$405:$B$1024,AK$2,과년도모음!$E$405:$E$1024,"콘크리트")</f>
        <v/>
      </c>
      <c r="AL30" s="16" t="n"/>
    </row>
    <row r="31">
      <c r="A31" s="20">
        <f>RANK(E31,$E$28:$E$48)</f>
        <v/>
      </c>
      <c r="B31" s="111" t="inlineStr">
        <is>
          <t>건설기계</t>
        </is>
      </c>
      <c r="C31" s="121">
        <f>E31/$E$49</f>
        <v/>
      </c>
      <c r="D31" s="122">
        <f>E31/22</f>
        <v/>
      </c>
      <c r="E31" s="111">
        <f>SUM(F31:AK31)</f>
        <v/>
      </c>
      <c r="F31" s="9">
        <f>COUNTIFS(과년도모음!$B$1:$B$1024,F$2,과년도모음!$E$1:$E$1024,"건설기계")</f>
        <v/>
      </c>
      <c r="G31" s="9">
        <f>COUNTIFS(과년도모음!$B$1:$B$1024,G$2,과년도모음!$E$1:$E$1024,"건설기계")</f>
        <v/>
      </c>
      <c r="H31" s="9">
        <f>COUNTIFS(과년도모음!$B$1:$B$1024,H$2,과년도모음!$E$1:$E$1024,"건설기계")</f>
        <v/>
      </c>
      <c r="I31" s="9">
        <f>COUNTIFS(과년도모음!$B$1:$B$1024,I$2,과년도모음!$E$1:$E$1024,"건설기계")</f>
        <v/>
      </c>
      <c r="J31" s="9">
        <f>COUNTIFS(과년도모음!$B$1:$B$1024,J$2,과년도모음!$E$1:$E$1024,"건설기계")</f>
        <v/>
      </c>
      <c r="K31" s="9">
        <f>COUNTIFS(과년도모음!$B$1:$B$1024,K$2,과년도모음!$E$1:$E$1024,"건설기계")</f>
        <v/>
      </c>
      <c r="L31" s="9">
        <f>COUNTIFS(과년도모음!$B$1:$B$1024,L$2,과년도모음!$E$1:$E$1024,"건설기계")</f>
        <v/>
      </c>
      <c r="M31" s="9">
        <f>COUNTIFS(과년도모음!$B$1:$B$1024,M$2,과년도모음!$E$1:$E$1024,"건설기계")</f>
        <v/>
      </c>
      <c r="N31" s="9">
        <f>COUNTIFS(과년도모음!$B$281:$B$1024,N$2,과년도모음!$E$281:$E$1024,"건설기계")</f>
        <v/>
      </c>
      <c r="O31" s="9">
        <f>COUNTIFS(과년도모음!$B$312:$B$1024,O$2,과년도모음!$E$312:$E$1024,"건설기계")</f>
        <v/>
      </c>
      <c r="P31" s="9">
        <f>COUNTIFS(과년도모음!$B$343:$B$1024,P$2,과년도모음!$E$343:$E$1024,"건설기계")</f>
        <v/>
      </c>
      <c r="Q31" s="9">
        <f>COUNTIFS(과년도모음!$B$343:$B$1024,Q$2,과년도모음!$E$343:$E$1024,"건설기계")</f>
        <v/>
      </c>
      <c r="R31" s="9">
        <f>COUNTIFS(과년도모음!$B$405:$B$1024,R$2,과년도모음!$E$405:$E$1024,"건설기계")</f>
        <v/>
      </c>
      <c r="S31" s="9">
        <f>COUNTIFS(과년도모음!$B$405:$B$1024,S$2,과년도모음!$E$405:$E$1024,"건설기계")</f>
        <v/>
      </c>
      <c r="T31" s="9">
        <f>COUNTIFS(과년도모음!$B$405:$B$1024,T$2,과년도모음!$E$405:$E$1024,"건설기계")</f>
        <v/>
      </c>
      <c r="U31" s="9">
        <f>COUNTIFS(과년도모음!$B$405:$B$1024,U$2,과년도모음!$E$405:$E$1024,"건설기계")</f>
        <v/>
      </c>
      <c r="V31" s="9">
        <f>COUNTIFS(과년도모음!$B$405:$B$1024,V$2,과년도모음!$E$405:$E$1024,"건설기계")</f>
        <v/>
      </c>
      <c r="W31" s="9">
        <f>COUNTIFS(과년도모음!$B$405:$B$1024,W$2,과년도모음!$E$405:$E$1024,"건설기계")</f>
        <v/>
      </c>
      <c r="X31" s="9">
        <f>COUNTIFS(과년도모음!$B$405:$B$1024,X$2,과년도모음!$E$405:$E$1024,"건설기계")</f>
        <v/>
      </c>
      <c r="Y31" s="9">
        <f>COUNTIFS(과년도모음!$B$405:$B$1024,Y$2,과년도모음!$E$405:$E$1024,"건설기계")</f>
        <v/>
      </c>
      <c r="Z31" s="9">
        <f>COUNTIFS(과년도모음!$B$405:$B$1024,Z$2,과년도모음!$E$405:$E$1024,"건설기계")</f>
        <v/>
      </c>
      <c r="AA31" s="9">
        <f>COUNTIFS(과년도모음!$B$405:$B$1024,AA$2,과년도모음!$E$405:$E$1024,"건설기계")</f>
        <v/>
      </c>
      <c r="AB31" s="9">
        <f>COUNTIFS(과년도모음!$B$405:$B$1024,AB$2,과년도모음!$E$405:$E$1024,"건설기계")</f>
        <v/>
      </c>
      <c r="AC31" s="9">
        <f>COUNTIFS(과년도모음!$B$405:$B$1024,AC$2,과년도모음!$E$405:$E$1024,"건설기계")</f>
        <v/>
      </c>
      <c r="AD31" s="9">
        <f>COUNTIFS(과년도모음!$B$405:$B$1024,AD$2,과년도모음!$E$405:$E$1024,"건설기계")</f>
        <v/>
      </c>
      <c r="AE31" s="9">
        <f>COUNTIFS(과년도모음!$B$405:$B$1024,AE$2,과년도모음!$E$405:$E$1024,"건설기계")</f>
        <v/>
      </c>
      <c r="AF31" s="9">
        <f>COUNTIFS(과년도모음!$B$405:$B$1024,AF$2,과년도모음!$E$405:$E$1024,"건설기계")</f>
        <v/>
      </c>
      <c r="AG31" s="9">
        <f>COUNTIFS(과년도모음!$B$405:$B$1024,AG$2,과년도모음!$E$405:$E$1024,"건설기계")</f>
        <v/>
      </c>
      <c r="AH31" s="9">
        <f>COUNTIFS(과년도모음!$B$405:$B$1024,AH$2,과년도모음!$E$405:$E$1024,"건설기계")</f>
        <v/>
      </c>
      <c r="AI31" s="9">
        <f>COUNTIFS(과년도모음!$B$405:$B$1024,AI$2,과년도모음!$E$405:$E$1024,"건설기계")</f>
        <v/>
      </c>
      <c r="AJ31" s="9">
        <f>COUNTIFS(과년도모음!$B$405:$B$1024,AJ$2,과년도모음!$E$405:$E$1024,"건설기계")</f>
        <v/>
      </c>
      <c r="AK31" s="9">
        <f>COUNTIFS(과년도모음!$B$405:$B$1024,AK$2,과년도모음!$E$405:$E$1024,"건설기계")</f>
        <v/>
      </c>
      <c r="AL31" s="16" t="n"/>
    </row>
    <row r="32">
      <c r="A32" s="20">
        <f>RANK(E32,$E$28:$E$48)</f>
        <v/>
      </c>
      <c r="B32" s="111" t="inlineStr">
        <is>
          <t>가설공사</t>
        </is>
      </c>
      <c r="C32" s="121">
        <f>E32/$E$49</f>
        <v/>
      </c>
      <c r="D32" s="122">
        <f>E32/22</f>
        <v/>
      </c>
      <c r="E32" s="111">
        <f>SUM(F32:AK32)</f>
        <v/>
      </c>
      <c r="F32" s="9">
        <f>COUNTIFS(과년도모음!$B$1:$B$1024,F$2,과년도모음!$E$1:$E$1024,"가설공사")</f>
        <v/>
      </c>
      <c r="G32" s="9">
        <f>COUNTIFS(과년도모음!$B$1:$B$1024,G$2,과년도모음!$E$1:$E$1024,"가설공사")</f>
        <v/>
      </c>
      <c r="H32" s="9">
        <f>COUNTIFS(과년도모음!$B$1:$B$1024,H$2,과년도모음!$E$1:$E$1024,"가설공사")</f>
        <v/>
      </c>
      <c r="I32" s="9">
        <f>COUNTIFS(과년도모음!$B$1:$B$1024,I$2,과년도모음!$E$1:$E$1024,"가설공사")</f>
        <v/>
      </c>
      <c r="J32" s="9">
        <f>COUNTIFS(과년도모음!$B$1:$B$1024,J$2,과년도모음!$E$1:$E$1024,"가설공사")</f>
        <v/>
      </c>
      <c r="K32" s="9">
        <f>COUNTIFS(과년도모음!$B$1:$B$1024,K$2,과년도모음!$E$1:$E$1024,"가설공사")</f>
        <v/>
      </c>
      <c r="L32" s="9">
        <f>COUNTIFS(과년도모음!$B$1:$B$1024,L$2,과년도모음!$E$1:$E$1024,"가설공사")</f>
        <v/>
      </c>
      <c r="M32" s="9">
        <f>COUNTIFS(과년도모음!$B$1:$B$1024,M$2,과년도모음!$E$1:$E$1024,"가설공사")</f>
        <v/>
      </c>
      <c r="N32" s="9">
        <f>COUNTIFS(과년도모음!$B$281:$B$1024,N$2,과년도모음!$E$281:$E$1024,"가설공사")</f>
        <v/>
      </c>
      <c r="O32" s="9">
        <f>COUNTIFS(과년도모음!$B$312:$B$1024,O$2,과년도모음!$E$312:$E$1024,"가설공사")</f>
        <v/>
      </c>
      <c r="P32" s="9">
        <f>COUNTIFS(과년도모음!$B$343:$B$1024,P$2,과년도모음!$E$343:$E$1024,"가설공사")</f>
        <v/>
      </c>
      <c r="Q32" s="9">
        <f>COUNTIFS(과년도모음!$B$343:$B$1024,Q$2,과년도모음!$E$343:$E$1024,"가설공사")</f>
        <v/>
      </c>
      <c r="R32" s="9">
        <f>COUNTIFS(과년도모음!$B$405:$B$1024,R$2,과년도모음!$E$405:$E$1024,"가설공사")</f>
        <v/>
      </c>
      <c r="S32" s="9">
        <f>COUNTIFS(과년도모음!$B$405:$B$1024,S$2,과년도모음!$E$405:$E$1024,"가설공사")</f>
        <v/>
      </c>
      <c r="T32" s="9">
        <f>COUNTIFS(과년도모음!$B$405:$B$1024,T$2,과년도모음!$E$405:$E$1024,"가설공사")</f>
        <v/>
      </c>
      <c r="U32" s="9">
        <f>COUNTIFS(과년도모음!$B$405:$B$1024,U$2,과년도모음!$E$405:$E$1024,"가설공사")</f>
        <v/>
      </c>
      <c r="V32" s="9">
        <f>COUNTIFS(과년도모음!$B$405:$B$1024,V$2,과년도모음!$E$405:$E$1024,"가설공사")</f>
        <v/>
      </c>
      <c r="W32" s="9">
        <f>COUNTIFS(과년도모음!$B$405:$B$1024,W$2,과년도모음!$E$405:$E$1024,"가설공사")</f>
        <v/>
      </c>
      <c r="X32" s="9">
        <f>COUNTIFS(과년도모음!$B$405:$B$1024,X$2,과년도모음!$E$405:$E$1024,"가설공사")</f>
        <v/>
      </c>
      <c r="Y32" s="9">
        <f>COUNTIFS(과년도모음!$B$405:$B$1024,Y$2,과년도모음!$E$405:$E$1024,"가설공사")</f>
        <v/>
      </c>
      <c r="Z32" s="9">
        <f>COUNTIFS(과년도모음!$B$405:$B$1024,Z$2,과년도모음!$E$405:$E$1024,"가설공사")</f>
        <v/>
      </c>
      <c r="AA32" s="9">
        <f>COUNTIFS(과년도모음!$B$405:$B$1024,AA$2,과년도모음!$E$405:$E$1024,"가설공사")</f>
        <v/>
      </c>
      <c r="AB32" s="9">
        <f>COUNTIFS(과년도모음!$B$405:$B$1024,AB$2,과년도모음!$E$405:$E$1024,"가설공사")</f>
        <v/>
      </c>
      <c r="AC32" s="9">
        <f>COUNTIFS(과년도모음!$B$405:$B$1024,AC$2,과년도모음!$E$405:$E$1024,"가설공사")</f>
        <v/>
      </c>
      <c r="AD32" s="9">
        <f>COUNTIFS(과년도모음!$B$405:$B$1024,AD$2,과년도모음!$E$405:$E$1024,"가설공사")</f>
        <v/>
      </c>
      <c r="AE32" s="9">
        <f>COUNTIFS(과년도모음!$B$405:$B$1024,AE$2,과년도모음!$E$405:$E$1024,"가설공사")</f>
        <v/>
      </c>
      <c r="AF32" s="9">
        <f>COUNTIFS(과년도모음!$B$405:$B$1024,AF$2,과년도모음!$E$405:$E$1024,"가설공사")</f>
        <v/>
      </c>
      <c r="AG32" s="9">
        <f>COUNTIFS(과년도모음!$B$405:$B$1024,AG$2,과년도모음!$E$405:$E$1024,"가설공사")</f>
        <v/>
      </c>
      <c r="AH32" s="9">
        <f>COUNTIFS(과년도모음!$B$405:$B$1024,AH$2,과년도모음!$E$405:$E$1024,"가설공사")</f>
        <v/>
      </c>
      <c r="AI32" s="9">
        <f>COUNTIFS(과년도모음!$B$405:$B$1024,AI$2,과년도모음!$E$405:$E$1024,"가설공사")</f>
        <v/>
      </c>
      <c r="AJ32" s="9">
        <f>COUNTIFS(과년도모음!$B$405:$B$1024,AJ$2,과년도모음!$E$405:$E$1024,"가설공사")</f>
        <v/>
      </c>
      <c r="AK32" s="9">
        <f>COUNTIFS(과년도모음!$B$405:$B$1024,AK$2,과년도모음!$E$405:$E$1024,"가설공사")</f>
        <v/>
      </c>
      <c r="AL32" s="16" t="n"/>
    </row>
    <row r="33">
      <c r="A33" s="20">
        <f>RANK(E33,$E$28:$E$48)</f>
        <v/>
      </c>
      <c r="B33" s="111" t="inlineStr">
        <is>
          <t>기초</t>
        </is>
      </c>
      <c r="C33" s="121">
        <f>E33/$E$49</f>
        <v/>
      </c>
      <c r="D33" s="122">
        <f>E33/22</f>
        <v/>
      </c>
      <c r="E33" s="111">
        <f>SUM(F33:AK33)</f>
        <v/>
      </c>
      <c r="F33" s="9">
        <f>COUNTIFS(과년도모음!$B$1:$B$1024,F$2,과년도모음!$E$1:$E$1024,"기초")</f>
        <v/>
      </c>
      <c r="G33" s="9">
        <f>COUNTIFS(과년도모음!$B$1:$B$1024,G$2,과년도모음!$E$1:$E$1024,"기초")</f>
        <v/>
      </c>
      <c r="H33" s="9">
        <f>COUNTIFS(과년도모음!$B$1:$B$1024,H$2,과년도모음!$E$1:$E$1024,"기초")</f>
        <v/>
      </c>
      <c r="I33" s="9">
        <f>COUNTIFS(과년도모음!$B$1:$B$1024,I$2,과년도모음!$E$1:$E$1024,"기초")</f>
        <v/>
      </c>
      <c r="J33" s="9">
        <f>COUNTIFS(과년도모음!$B$1:$B$1024,J$2,과년도모음!$E$1:$E$1024,"기초")</f>
        <v/>
      </c>
      <c r="K33" s="9">
        <f>COUNTIFS(과년도모음!$B$1:$B$1024,K$2,과년도모음!$E$1:$E$1024,"기초")</f>
        <v/>
      </c>
      <c r="L33" s="9">
        <f>COUNTIFS(과년도모음!$B$1:$B$1024,L$2,과년도모음!$E$1:$E$1024,"기초")</f>
        <v/>
      </c>
      <c r="M33" s="9">
        <f>COUNTIFS(과년도모음!$B$1:$B$1024,M$2,과년도모음!$E$1:$E$1024,"기초")</f>
        <v/>
      </c>
      <c r="N33" s="9">
        <f>COUNTIFS(과년도모음!$B$281:$B$1024,N$2,과년도모음!$E$281:$E$1024,"기초")</f>
        <v/>
      </c>
      <c r="O33" s="9">
        <f>COUNTIFS(과년도모음!$B$312:$B$1024,O$2,과년도모음!$E$312:$E$1024,"기초")</f>
        <v/>
      </c>
      <c r="P33" s="9">
        <f>COUNTIFS(과년도모음!$B$343:$B$1024,P$2,과년도모음!$E$343:$E$1024,"기초")</f>
        <v/>
      </c>
      <c r="Q33" s="9">
        <f>COUNTIFS(과년도모음!$B$343:$B$1024,Q$2,과년도모음!$E$343:$E$1024,"기초")</f>
        <v/>
      </c>
      <c r="R33" s="9">
        <f>COUNTIFS(과년도모음!$B$405:$B$1024,R$2,과년도모음!$E$405:$E$1024,"기초")</f>
        <v/>
      </c>
      <c r="S33" s="9">
        <f>COUNTIFS(과년도모음!$B$405:$B$1024,S$2,과년도모음!$E$405:$E$1024,"기초")</f>
        <v/>
      </c>
      <c r="T33" s="9">
        <f>COUNTIFS(과년도모음!$B$405:$B$1024,T$2,과년도모음!$E$405:$E$1024,"기초")</f>
        <v/>
      </c>
      <c r="U33" s="9">
        <f>COUNTIFS(과년도모음!$B$405:$B$1024,U$2,과년도모음!$E$405:$E$1024,"기초")</f>
        <v/>
      </c>
      <c r="V33" s="9">
        <f>COUNTIFS(과년도모음!$B$405:$B$1024,V$2,과년도모음!$E$405:$E$1024,"기초")</f>
        <v/>
      </c>
      <c r="W33" s="9">
        <f>COUNTIFS(과년도모음!$B$405:$B$1024,W$2,과년도모음!$E$405:$E$1024,"기초")</f>
        <v/>
      </c>
      <c r="X33" s="9">
        <f>COUNTIFS(과년도모음!$B$405:$B$1024,X$2,과년도모음!$E$405:$E$1024,"기초")</f>
        <v/>
      </c>
      <c r="Y33" s="9">
        <f>COUNTIFS(과년도모음!$B$405:$B$1024,Y$2,과년도모음!$E$405:$E$1024,"기초")</f>
        <v/>
      </c>
      <c r="Z33" s="9">
        <f>COUNTIFS(과년도모음!$B$405:$B$1024,Z$2,과년도모음!$E$405:$E$1024,"기초")</f>
        <v/>
      </c>
      <c r="AA33" s="9">
        <f>COUNTIFS(과년도모음!$B$405:$B$1024,AA$2,과년도모음!$E$405:$E$1024,"기초")</f>
        <v/>
      </c>
      <c r="AB33" s="9">
        <f>COUNTIFS(과년도모음!$B$405:$B$1024,AB$2,과년도모음!$E$405:$E$1024,"기초")</f>
        <v/>
      </c>
      <c r="AC33" s="9">
        <f>COUNTIFS(과년도모음!$B$405:$B$1024,AC$2,과년도모음!$E$405:$E$1024,"기초")</f>
        <v/>
      </c>
      <c r="AD33" s="9">
        <f>COUNTIFS(과년도모음!$B$405:$B$1024,AD$2,과년도모음!$E$405:$E$1024,"기초")</f>
        <v/>
      </c>
      <c r="AE33" s="9">
        <f>COUNTIFS(과년도모음!$B$405:$B$1024,AE$2,과년도모음!$E$405:$E$1024,"기초")</f>
        <v/>
      </c>
      <c r="AF33" s="9">
        <f>COUNTIFS(과년도모음!$B$405:$B$1024,AF$2,과년도모음!$E$405:$E$1024,"기초")</f>
        <v/>
      </c>
      <c r="AG33" s="9">
        <f>COUNTIFS(과년도모음!$B$405:$B$1024,AG$2,과년도모음!$E$405:$E$1024,"기초")</f>
        <v/>
      </c>
      <c r="AH33" s="9">
        <f>COUNTIFS(과년도모음!$B$405:$B$1024,AH$2,과년도모음!$E$405:$E$1024,"기초")</f>
        <v/>
      </c>
      <c r="AI33" s="9">
        <f>COUNTIFS(과년도모음!$B$405:$B$1024,AI$2,과년도모음!$E$405:$E$1024,"기초")</f>
        <v/>
      </c>
      <c r="AJ33" s="9">
        <f>COUNTIFS(과년도모음!$B$405:$B$1024,AJ$2,과년도모음!$E$405:$E$1024,"기초")</f>
        <v/>
      </c>
      <c r="AK33" s="9">
        <f>COUNTIFS(과년도모음!$B$405:$B$1024,AK$2,과년도모음!$E$405:$E$1024,"기초")</f>
        <v/>
      </c>
      <c r="AL33" s="16" t="n"/>
    </row>
    <row r="34">
      <c r="A34" s="20">
        <f>RANK(E34,$E$28:$E$48)</f>
        <v/>
      </c>
      <c r="B34" s="111" t="inlineStr">
        <is>
          <t>토공</t>
        </is>
      </c>
      <c r="C34" s="121">
        <f>E34/$E$49</f>
        <v/>
      </c>
      <c r="D34" s="122">
        <f>E34/22</f>
        <v/>
      </c>
      <c r="E34" s="111">
        <f>SUM(F34:AK34)</f>
        <v/>
      </c>
      <c r="F34" s="9">
        <f>COUNTIFS(과년도모음!$B$1:$B$1024,F$2,과년도모음!$E$1:$E$1024,"토공")</f>
        <v/>
      </c>
      <c r="G34" s="9">
        <f>COUNTIFS(과년도모음!$B$1:$B$1024,G$2,과년도모음!$E$1:$E$1024,"토공")</f>
        <v/>
      </c>
      <c r="H34" s="9">
        <f>COUNTIFS(과년도모음!$B$1:$B$1024,H$2,과년도모음!$E$1:$E$1024,"토공")</f>
        <v/>
      </c>
      <c r="I34" s="9">
        <f>COUNTIFS(과년도모음!$B$1:$B$1024,I$2,과년도모음!$E$1:$E$1024,"토공")</f>
        <v/>
      </c>
      <c r="J34" s="9">
        <f>COUNTIFS(과년도모음!$B$1:$B$1024,J$2,과년도모음!$E$1:$E$1024,"토공")</f>
        <v/>
      </c>
      <c r="K34" s="9">
        <f>COUNTIFS(과년도모음!$B$1:$B$1024,K$2,과년도모음!$E$1:$E$1024,"토공")</f>
        <v/>
      </c>
      <c r="L34" s="9">
        <f>COUNTIFS(과년도모음!$B$1:$B$1024,L$2,과년도모음!$E$1:$E$1024,"토공")</f>
        <v/>
      </c>
      <c r="M34" s="9">
        <f>COUNTIFS(과년도모음!$B$1:$B$1024,M$2,과년도모음!$E$1:$E$1024,"토공")</f>
        <v/>
      </c>
      <c r="N34" s="9">
        <f>COUNTIFS(과년도모음!$B$281:$B$1024,N$2,과년도모음!$E$281:$E$1024,"토공")</f>
        <v/>
      </c>
      <c r="O34" s="9">
        <f>COUNTIFS(과년도모음!$B$312:$B$1024,O$2,과년도모음!$E$312:$E$1024,"토공")</f>
        <v/>
      </c>
      <c r="P34" s="9">
        <f>COUNTIFS(과년도모음!$B$343:$B$1024,P$2,과년도모음!$E$343:$E$1024,"토공")</f>
        <v/>
      </c>
      <c r="Q34" s="9">
        <f>COUNTIFS(과년도모음!$B$343:$B$1024,Q$2,과년도모음!$E$343:$E$1024,"토공")</f>
        <v/>
      </c>
      <c r="R34" s="9">
        <f>COUNTIFS(과년도모음!$B$405:$B$1024,R$2,과년도모음!$E$405:$E$1024,"토공")</f>
        <v/>
      </c>
      <c r="S34" s="9">
        <f>COUNTIFS(과년도모음!$B$405:$B$1024,S$2,과년도모음!$E$405:$E$1024,"토공")</f>
        <v/>
      </c>
      <c r="T34" s="9">
        <f>COUNTIFS(과년도모음!$B$405:$B$1024,T$2,과년도모음!$E$405:$E$1024,"토공")</f>
        <v/>
      </c>
      <c r="U34" s="9">
        <f>COUNTIFS(과년도모음!$B$405:$B$1024,U$2,과년도모음!$E$405:$E$1024,"토공")</f>
        <v/>
      </c>
      <c r="V34" s="9">
        <f>COUNTIFS(과년도모음!$B$405:$B$1024,V$2,과년도모음!$E$405:$E$1024,"토공")</f>
        <v/>
      </c>
      <c r="W34" s="9">
        <f>COUNTIFS(과년도모음!$B$405:$B$1024,W$2,과년도모음!$E$405:$E$1024,"토공")</f>
        <v/>
      </c>
      <c r="X34" s="9">
        <f>COUNTIFS(과년도모음!$B$405:$B$1024,X$2,과년도모음!$E$405:$E$1024,"토공")</f>
        <v/>
      </c>
      <c r="Y34" s="9">
        <f>COUNTIFS(과년도모음!$B$405:$B$1024,Y$2,과년도모음!$E$405:$E$1024,"토공")</f>
        <v/>
      </c>
      <c r="Z34" s="9">
        <f>COUNTIFS(과년도모음!$B$405:$B$1024,Z$2,과년도모음!$E$405:$E$1024,"토공")</f>
        <v/>
      </c>
      <c r="AA34" s="9">
        <f>COUNTIFS(과년도모음!$B$405:$B$1024,AA$2,과년도모음!$E$405:$E$1024,"토공")</f>
        <v/>
      </c>
      <c r="AB34" s="9">
        <f>COUNTIFS(과년도모음!$B$405:$B$1024,AB$2,과년도모음!$E$405:$E$1024,"토공")</f>
        <v/>
      </c>
      <c r="AC34" s="9">
        <f>COUNTIFS(과년도모음!$B$405:$B$1024,AC$2,과년도모음!$E$405:$E$1024,"토공")</f>
        <v/>
      </c>
      <c r="AD34" s="9">
        <f>COUNTIFS(과년도모음!$B$405:$B$1024,AD$2,과년도모음!$E$405:$E$1024,"토공")</f>
        <v/>
      </c>
      <c r="AE34" s="9">
        <f>COUNTIFS(과년도모음!$B$405:$B$1024,AE$2,과년도모음!$E$405:$E$1024,"토공")</f>
        <v/>
      </c>
      <c r="AF34" s="9">
        <f>COUNTIFS(과년도모음!$B$405:$B$1024,AF$2,과년도모음!$E$405:$E$1024,"토공")</f>
        <v/>
      </c>
      <c r="AG34" s="9">
        <f>COUNTIFS(과년도모음!$B$405:$B$1024,AG$2,과년도모음!$E$405:$E$1024,"토공")</f>
        <v/>
      </c>
      <c r="AH34" s="9">
        <f>COUNTIFS(과년도모음!$B$405:$B$1024,AH$2,과년도모음!$E$405:$E$1024,"토공")</f>
        <v/>
      </c>
      <c r="AI34" s="9">
        <f>COUNTIFS(과년도모음!$B$405:$B$1024,AI$2,과년도모음!$E$405:$E$1024,"토공")</f>
        <v/>
      </c>
      <c r="AJ34" s="9">
        <f>COUNTIFS(과년도모음!$B$405:$B$1024,AJ$2,과년도모음!$E$405:$E$1024,"토공")</f>
        <v/>
      </c>
      <c r="AK34" s="9">
        <f>COUNTIFS(과년도모음!$B$405:$B$1024,AK$2,과년도모음!$E$405:$E$1024,"토공")</f>
        <v/>
      </c>
      <c r="AL34" s="16" t="n"/>
    </row>
    <row r="35">
      <c r="A35" s="20">
        <f>RANK(E35,$E$28:$E$48)</f>
        <v/>
      </c>
      <c r="B35" s="111" t="inlineStr">
        <is>
          <t>시설물안전법</t>
        </is>
      </c>
      <c r="C35" s="121">
        <f>E35/$E$49</f>
        <v/>
      </c>
      <c r="D35" s="122">
        <f>E35/22</f>
        <v/>
      </c>
      <c r="E35" s="111">
        <f>SUM(F35:AK35)</f>
        <v/>
      </c>
      <c r="F35" s="9">
        <f>COUNTIFS(과년도모음!$B$1:$B$1024,F$2,과년도모음!$E$1:$E$1024,"시설물안전법")</f>
        <v/>
      </c>
      <c r="G35" s="9">
        <f>COUNTIFS(과년도모음!$B$1:$B$1024,G$2,과년도모음!$E$1:$E$1024,"시설물안전법")</f>
        <v/>
      </c>
      <c r="H35" s="9">
        <f>COUNTIFS(과년도모음!$B$1:$B$1024,H$2,과년도모음!$E$1:$E$1024,"시설물안전법")</f>
        <v/>
      </c>
      <c r="I35" s="9">
        <f>COUNTIFS(과년도모음!$B$1:$B$1024,I$2,과년도모음!$E$1:$E$1024,"시설물안전법")</f>
        <v/>
      </c>
      <c r="J35" s="9">
        <f>COUNTIFS(과년도모음!$B$1:$B$1024,J$2,과년도모음!$E$1:$E$1024,"시설물안전법")</f>
        <v/>
      </c>
      <c r="K35" s="9">
        <f>COUNTIFS(과년도모음!$B$1:$B$1024,K$2,과년도모음!$E$1:$E$1024,"시설물안전법")</f>
        <v/>
      </c>
      <c r="L35" s="9">
        <f>COUNTIFS(과년도모음!$B$1:$B$1024,L$2,과년도모음!$E$1:$E$1024,"시설물안전법")</f>
        <v/>
      </c>
      <c r="M35" s="9">
        <f>COUNTIFS(과년도모음!$B$1:$B$1024,M$2,과년도모음!$E$1:$E$1024,"시설물안전법")</f>
        <v/>
      </c>
      <c r="N35" s="9">
        <f>COUNTIFS(과년도모음!$B$281:$B$1024,N$2,과년도모음!$E$281:$E$1024,"시설물안전법")</f>
        <v/>
      </c>
      <c r="O35" s="9">
        <f>COUNTIFS(과년도모음!$B$312:$B$1024,O$2,과년도모음!$E$312:$E$1024,"시설물안전법")</f>
        <v/>
      </c>
      <c r="P35" s="9">
        <f>COUNTIFS(과년도모음!$B$343:$B$1024,P$2,과년도모음!$E$343:$E$1024,"시설물안전법")</f>
        <v/>
      </c>
      <c r="Q35" s="9">
        <f>COUNTIFS(과년도모음!$B$343:$B$1024,Q$2,과년도모음!$E$343:$E$1024,"시설물안전법")</f>
        <v/>
      </c>
      <c r="R35" s="9">
        <f>COUNTIFS(과년도모음!$B$405:$B$1024,R$2,과년도모음!$E$405:$E$1024,"시설물안전법")</f>
        <v/>
      </c>
      <c r="S35" s="9">
        <f>COUNTIFS(과년도모음!$B$405:$B$1024,S$2,과년도모음!$E$405:$E$1024,"시설물안전법")</f>
        <v/>
      </c>
      <c r="T35" s="9">
        <f>COUNTIFS(과년도모음!$B$405:$B$1024,T$2,과년도모음!$E$405:$E$1024,"시설물안전법")</f>
        <v/>
      </c>
      <c r="U35" s="9">
        <f>COUNTIFS(과년도모음!$B$405:$B$1024,U$2,과년도모음!$E$405:$E$1024,"시설물안전법")</f>
        <v/>
      </c>
      <c r="V35" s="9">
        <f>COUNTIFS(과년도모음!$B$405:$B$1024,V$2,과년도모음!$E$405:$E$1024,"시설물안전법")</f>
        <v/>
      </c>
      <c r="W35" s="9">
        <f>COUNTIFS(과년도모음!$B$405:$B$1024,W$2,과년도모음!$E$405:$E$1024,"시설물안전법")</f>
        <v/>
      </c>
      <c r="X35" s="9">
        <f>COUNTIFS(과년도모음!$B$405:$B$1024,X$2,과년도모음!$E$405:$E$1024,"시설물안전법")</f>
        <v/>
      </c>
      <c r="Y35" s="9">
        <f>COUNTIFS(과년도모음!$B$405:$B$1024,Y$2,과년도모음!$E$405:$E$1024,"시설물안전법")</f>
        <v/>
      </c>
      <c r="Z35" s="9">
        <f>COUNTIFS(과년도모음!$B$405:$B$1024,Z$2,과년도모음!$E$405:$E$1024,"시설물안전법")</f>
        <v/>
      </c>
      <c r="AA35" s="9">
        <f>COUNTIFS(과년도모음!$B$405:$B$1024,AA$2,과년도모음!$E$405:$E$1024,"시설물안전법")</f>
        <v/>
      </c>
      <c r="AB35" s="9">
        <f>COUNTIFS(과년도모음!$B$405:$B$1024,AB$2,과년도모음!$E$405:$E$1024,"시설물안전법")</f>
        <v/>
      </c>
      <c r="AC35" s="9">
        <f>COUNTIFS(과년도모음!$B$405:$B$1024,AC$2,과년도모음!$E$405:$E$1024,"시설물안전법")</f>
        <v/>
      </c>
      <c r="AD35" s="9">
        <f>COUNTIFS(과년도모음!$B$405:$B$1024,AD$2,과년도모음!$E$405:$E$1024,"시설물안전법")</f>
        <v/>
      </c>
      <c r="AE35" s="9">
        <f>COUNTIFS(과년도모음!$B$405:$B$1024,AE$2,과년도모음!$E$405:$E$1024,"시설물안전법")</f>
        <v/>
      </c>
      <c r="AF35" s="9">
        <f>COUNTIFS(과년도모음!$B$405:$B$1024,AF$2,과년도모음!$E$405:$E$1024,"시설물안전법")</f>
        <v/>
      </c>
      <c r="AG35" s="9">
        <f>COUNTIFS(과년도모음!$B$405:$B$1024,AG$2,과년도모음!$E$405:$E$1024,"시설물안전법")</f>
        <v/>
      </c>
      <c r="AH35" s="9">
        <f>COUNTIFS(과년도모음!$B$405:$B$1024,AH$2,과년도모음!$E$405:$E$1024,"시설물안전법")</f>
        <v/>
      </c>
      <c r="AI35" s="9">
        <f>COUNTIFS(과년도모음!$B$405:$B$1024,AI$2,과년도모음!$E$405:$E$1024,"시설물안전법")</f>
        <v/>
      </c>
      <c r="AJ35" s="9">
        <f>COUNTIFS(과년도모음!$B$405:$B$1024,AJ$2,과년도모음!$E$405:$E$1024,"시설물안전법")</f>
        <v/>
      </c>
      <c r="AK35" s="9">
        <f>COUNTIFS(과년도모음!$B$405:$B$1024,AK$2,과년도모음!$E$405:$E$1024,"시설물안전법")</f>
        <v/>
      </c>
      <c r="AL35" s="16" t="n"/>
    </row>
    <row r="36">
      <c r="A36" s="20">
        <f>RANK(E36,$E$28:$E$48)</f>
        <v/>
      </c>
      <c r="B36" s="111" t="inlineStr">
        <is>
          <t>건설기술진흥법</t>
        </is>
      </c>
      <c r="C36" s="121">
        <f>E36/$E$49</f>
        <v/>
      </c>
      <c r="D36" s="122">
        <f>E36/22</f>
        <v/>
      </c>
      <c r="E36" s="111">
        <f>SUM(F36:AK36)</f>
        <v/>
      </c>
      <c r="F36" s="9">
        <f>COUNTIFS(과년도모음!$B$1:$B$1024,F$2,과년도모음!$E$1:$E$1024,"건진법")</f>
        <v/>
      </c>
      <c r="G36" s="9">
        <f>COUNTIFS(과년도모음!$B$1:$B$1024,G$2,과년도모음!$E$1:$E$1024,"건진법")</f>
        <v/>
      </c>
      <c r="H36" s="9">
        <f>COUNTIFS(과년도모음!$B$1:$B$1024,H$2,과년도모음!$E$1:$E$1024,"건진법")</f>
        <v/>
      </c>
      <c r="I36" s="9">
        <f>COUNTIFS(과년도모음!$B$1:$B$1024,I$2,과년도모음!$E$1:$E$1024,"건진법")</f>
        <v/>
      </c>
      <c r="J36" s="9">
        <f>COUNTIFS(과년도모음!$B$1:$B$1024,J$2,과년도모음!$E$1:$E$1024,"건진법")</f>
        <v/>
      </c>
      <c r="K36" s="9">
        <f>COUNTIFS(과년도모음!$B$1:$B$1024,K$2,과년도모음!$E$1:$E$1024,"건진법")</f>
        <v/>
      </c>
      <c r="L36" s="9">
        <f>COUNTIFS(과년도모음!$B$1:$B$1024,L$2,과년도모음!$E$1:$E$1024,"건진법")</f>
        <v/>
      </c>
      <c r="M36" s="9">
        <f>COUNTIFS(과년도모음!$B$1:$B$1024,M$2,과년도모음!$E$1:$E$1024,"건진법")</f>
        <v/>
      </c>
      <c r="N36" s="9">
        <f>COUNTIFS(과년도모음!$B$281:$B$1024,N$2,과년도모음!$E$281:$E$1024,"건진법")</f>
        <v/>
      </c>
      <c r="O36" s="9">
        <f>COUNTIFS(과년도모음!$B$312:$B$1024,O$2,과년도모음!$E$312:$E$1024,"건진법")</f>
        <v/>
      </c>
      <c r="P36" s="9">
        <f>COUNTIFS(과년도모음!$B$343:$B$1024,P$2,과년도모음!$E$343:$E$1024,"건진법")</f>
        <v/>
      </c>
      <c r="Q36" s="9">
        <f>COUNTIFS(과년도모음!$B$343:$B$1024,Q$2,과년도모음!$E$343:$E$1024,"건진법")</f>
        <v/>
      </c>
      <c r="R36" s="9">
        <f>COUNTIFS(과년도모음!$B$405:$B$1024,R$2,과년도모음!$E$405:$E$1024,"건진법")</f>
        <v/>
      </c>
      <c r="S36" s="9">
        <f>COUNTIFS(과년도모음!$B$405:$B$1024,S$2,과년도모음!$E$405:$E$1024,"건진법")</f>
        <v/>
      </c>
      <c r="T36" s="9">
        <f>COUNTIFS(과년도모음!$B$405:$B$1024,T$2,과년도모음!$E$405:$E$1024,"건진법")</f>
        <v/>
      </c>
      <c r="U36" s="9">
        <f>COUNTIFS(과년도모음!$B$405:$B$1024,U$2,과년도모음!$E$405:$E$1024,"건진법")</f>
        <v/>
      </c>
      <c r="V36" s="9">
        <f>COUNTIFS(과년도모음!$B$405:$B$1024,V$2,과년도모음!$E$405:$E$1024,"건진법")</f>
        <v/>
      </c>
      <c r="W36" s="9">
        <f>COUNTIFS(과년도모음!$B$405:$B$1024,W$2,과년도모음!$E$405:$E$1024,"건진법")</f>
        <v/>
      </c>
      <c r="X36" s="9">
        <f>COUNTIFS(과년도모음!$B$405:$B$1024,X$2,과년도모음!$E$405:$E$1024,"건진법")</f>
        <v/>
      </c>
      <c r="Y36" s="9">
        <f>COUNTIFS(과년도모음!$B$405:$B$1024,Y$2,과년도모음!$E$405:$E$1024,"건진법")</f>
        <v/>
      </c>
      <c r="Z36" s="9">
        <f>COUNTIFS(과년도모음!$B$405:$B$1024,Z$2,과년도모음!$E$405:$E$1024,"건진법")</f>
        <v/>
      </c>
      <c r="AA36" s="9">
        <f>COUNTIFS(과년도모음!$B$405:$B$1024,AA$2,과년도모음!$E$405:$E$1024,"건진법")</f>
        <v/>
      </c>
      <c r="AB36" s="9">
        <f>COUNTIFS(과년도모음!$B$405:$B$1024,AB$2,과년도모음!$E$405:$E$1024,"건진법")</f>
        <v/>
      </c>
      <c r="AC36" s="9">
        <f>COUNTIFS(과년도모음!$B$405:$B$1024,AC$2,과년도모음!$E$405:$E$1024,"건진법")</f>
        <v/>
      </c>
      <c r="AD36" s="9">
        <f>COUNTIFS(과년도모음!$B$405:$B$1024,AD$2,과년도모음!$E$405:$E$1024,"건진법")</f>
        <v/>
      </c>
      <c r="AE36" s="9">
        <f>COUNTIFS(과년도모음!$B$405:$B$1024,AE$2,과년도모음!$E$405:$E$1024,"건진법")</f>
        <v/>
      </c>
      <c r="AF36" s="9">
        <f>COUNTIFS(과년도모음!$B$405:$B$1024,AF$2,과년도모음!$E$405:$E$1024,"건진법")</f>
        <v/>
      </c>
      <c r="AG36" s="9">
        <f>COUNTIFS(과년도모음!$B$405:$B$1024,AG$2,과년도모음!$E$405:$E$1024,"건진법")</f>
        <v/>
      </c>
      <c r="AH36" s="9">
        <f>COUNTIFS(과년도모음!$B$405:$B$1024,AH$2,과년도모음!$E$405:$E$1024,"건진법")</f>
        <v/>
      </c>
      <c r="AI36" s="9">
        <f>COUNTIFS(과년도모음!$B$405:$B$1024,AI$2,과년도모음!$E$405:$E$1024,"건진법")</f>
        <v/>
      </c>
      <c r="AJ36" s="9">
        <f>COUNTIFS(과년도모음!$B$405:$B$1024,AJ$2,과년도모음!$E$405:$E$1024,"건진법")</f>
        <v/>
      </c>
      <c r="AK36" s="9">
        <f>COUNTIFS(과년도모음!$B$405:$B$1024,AK$2,과년도모음!$E$405:$E$1024,"건진법")</f>
        <v/>
      </c>
      <c r="AL36" s="16" t="n"/>
    </row>
    <row r="37">
      <c r="A37" s="20">
        <f>RANK(E37,$E$28:$E$48)</f>
        <v/>
      </c>
      <c r="B37" s="111" t="inlineStr">
        <is>
          <t>재해유형</t>
        </is>
      </c>
      <c r="C37" s="121">
        <f>E37/$E$49</f>
        <v/>
      </c>
      <c r="D37" s="122">
        <f>E37/22</f>
        <v/>
      </c>
      <c r="E37" s="111">
        <f>SUM(F37:AK37)</f>
        <v/>
      </c>
      <c r="F37" s="9">
        <f>COUNTIFS(과년도모음!$B$1:$B$1024,F$2,과년도모음!$E$1:$E$1024,"재해유형")</f>
        <v/>
      </c>
      <c r="G37" s="9">
        <f>COUNTIFS(과년도모음!$B$1:$B$1024,G$2,과년도모음!$E$1:$E$1024,"재해유형")</f>
        <v/>
      </c>
      <c r="H37" s="9">
        <f>COUNTIFS(과년도모음!$B$1:$B$1024,H$2,과년도모음!$E$1:$E$1024,"재해유형")</f>
        <v/>
      </c>
      <c r="I37" s="9">
        <f>COUNTIFS(과년도모음!$B$1:$B$1024,I$2,과년도모음!$E$1:$E$1024,"재해유형")</f>
        <v/>
      </c>
      <c r="J37" s="9">
        <f>COUNTIFS(과년도모음!$B$1:$B$1024,J$2,과년도모음!$E$1:$E$1024,"재해유형")</f>
        <v/>
      </c>
      <c r="K37" s="9">
        <f>COUNTIFS(과년도모음!$B$1:$B$1024,K$2,과년도모음!$E$1:$E$1024,"재해유형")</f>
        <v/>
      </c>
      <c r="L37" s="9">
        <f>COUNTIFS(과년도모음!$B$1:$B$1024,L$2,과년도모음!$E$1:$E$1024,"재해유형")</f>
        <v/>
      </c>
      <c r="M37" s="9">
        <f>COUNTIFS(과년도모음!$B$1:$B$1024,M$2,과년도모음!$E$1:$E$1024,"재해유형")</f>
        <v/>
      </c>
      <c r="N37" s="9">
        <f>COUNTIFS(과년도모음!$B$281:$B$1024,N$2,과년도모음!$E$281:$E$1024,"재해유형")</f>
        <v/>
      </c>
      <c r="O37" s="9">
        <f>COUNTIFS(과년도모음!$B$312:$B$1024,O$2,과년도모음!$E$312:$E$1024,"재해유형")</f>
        <v/>
      </c>
      <c r="P37" s="9">
        <f>COUNTIFS(과년도모음!$B$343:$B$1024,P$2,과년도모음!$E$343:$E$1024,"재해유형")</f>
        <v/>
      </c>
      <c r="Q37" s="9">
        <f>COUNTIFS(과년도모음!$B$343:$B$1024,Q$2,과년도모음!$E$343:$E$1024,"재해유형")</f>
        <v/>
      </c>
      <c r="R37" s="9">
        <f>COUNTIFS(과년도모음!$B$405:$B$1024,R$2,과년도모음!$E$405:$E$1024,"재해유형")</f>
        <v/>
      </c>
      <c r="S37" s="9">
        <f>COUNTIFS(과년도모음!$B$405:$B$1024,S$2,과년도모음!$E$405:$E$1024,"재해유형")</f>
        <v/>
      </c>
      <c r="T37" s="9">
        <f>COUNTIFS(과년도모음!$B$405:$B$1024,T$2,과년도모음!$E$405:$E$1024,"재해유형")</f>
        <v/>
      </c>
      <c r="U37" s="9">
        <f>COUNTIFS(과년도모음!$B$405:$B$1024,U$2,과년도모음!$E$405:$E$1024,"재해유형")</f>
        <v/>
      </c>
      <c r="V37" s="9">
        <f>COUNTIFS(과년도모음!$B$405:$B$1024,V$2,과년도모음!$E$405:$E$1024,"재해유형")</f>
        <v/>
      </c>
      <c r="W37" s="9">
        <f>COUNTIFS(과년도모음!$B$405:$B$1024,W$2,과년도모음!$E$405:$E$1024,"재해유형")</f>
        <v/>
      </c>
      <c r="X37" s="9">
        <f>COUNTIFS(과년도모음!$B$405:$B$1024,X$2,과년도모음!$E$405:$E$1024,"재해유형")</f>
        <v/>
      </c>
      <c r="Y37" s="9">
        <f>COUNTIFS(과년도모음!$B$405:$B$1024,Y$2,과년도모음!$E$405:$E$1024,"재해유형")</f>
        <v/>
      </c>
      <c r="Z37" s="9">
        <f>COUNTIFS(과년도모음!$B$405:$B$1024,Z$2,과년도모음!$E$405:$E$1024,"재해유형")</f>
        <v/>
      </c>
      <c r="AA37" s="9">
        <f>COUNTIFS(과년도모음!$B$405:$B$1024,AA$2,과년도모음!$E$405:$E$1024,"재해유형")</f>
        <v/>
      </c>
      <c r="AB37" s="9">
        <f>COUNTIFS(과년도모음!$B$405:$B$1024,AB$2,과년도모음!$E$405:$E$1024,"재해유형")</f>
        <v/>
      </c>
      <c r="AC37" s="9">
        <f>COUNTIFS(과년도모음!$B$405:$B$1024,AC$2,과년도모음!$E$405:$E$1024,"재해유형")</f>
        <v/>
      </c>
      <c r="AD37" s="9">
        <f>COUNTIFS(과년도모음!$B$405:$B$1024,AD$2,과년도모음!$E$405:$E$1024,"재해유형")</f>
        <v/>
      </c>
      <c r="AE37" s="9">
        <f>COUNTIFS(과년도모음!$B$405:$B$1024,AE$2,과년도모음!$E$405:$E$1024,"재해유형")</f>
        <v/>
      </c>
      <c r="AF37" s="9">
        <f>COUNTIFS(과년도모음!$B$405:$B$1024,AF$2,과년도모음!$E$405:$E$1024,"재해유형")</f>
        <v/>
      </c>
      <c r="AG37" s="9">
        <f>COUNTIFS(과년도모음!$B$405:$B$1024,AG$2,과년도모음!$E$405:$E$1024,"재해유형")</f>
        <v/>
      </c>
      <c r="AH37" s="9">
        <f>COUNTIFS(과년도모음!$B$405:$B$1024,AH$2,과년도모음!$E$405:$E$1024,"재해유형")</f>
        <v/>
      </c>
      <c r="AI37" s="9">
        <f>COUNTIFS(과년도모음!$B$405:$B$1024,AI$2,과년도모음!$E$405:$E$1024,"재해유형")</f>
        <v/>
      </c>
      <c r="AJ37" s="9">
        <f>COUNTIFS(과년도모음!$B$405:$B$1024,AJ$2,과년도모음!$E$405:$E$1024,"재해유형")</f>
        <v/>
      </c>
      <c r="AK37" s="9">
        <f>COUNTIFS(과년도모음!$B$405:$B$1024,AK$2,과년도모음!$E$405:$E$1024,"재해유형")</f>
        <v/>
      </c>
      <c r="AL37" s="16" t="n"/>
    </row>
    <row r="38">
      <c r="A38" s="20">
        <f>RANK(E38,$E$28:$E$48)</f>
        <v/>
      </c>
      <c r="B38" s="111" t="inlineStr">
        <is>
          <t>강재 및 철골</t>
        </is>
      </c>
      <c r="C38" s="121">
        <f>E38/$E$49</f>
        <v/>
      </c>
      <c r="D38" s="122">
        <f>E38/22</f>
        <v/>
      </c>
      <c r="E38" s="111">
        <f>SUM(F38:AK38)</f>
        <v/>
      </c>
      <c r="F38" s="9">
        <f>COUNTIFS(과년도모음!$B$1:$B$1024,F$2,과년도모음!$E$1:$E$1024,"강재")+COUNTIFS(과년도모음!$B$1:$B$1024,F27,과년도모음!$E$1:$E$1024,"철골")</f>
        <v/>
      </c>
      <c r="G38" s="9">
        <f>COUNTIFS(과년도모음!$B$1:$B$1024,G$2,과년도모음!$E$1:$E$1024,"강재")+COUNTIFS(과년도모음!$B$1:$B$1024,G27,과년도모음!$E$1:$E$1024,"철골")</f>
        <v/>
      </c>
      <c r="H38" s="9">
        <f>COUNTIFS(과년도모음!$B$1:$B$1024,H$2,과년도모음!$E$1:$E$1024,"강재")+COUNTIFS(과년도모음!$B$1:$B$1024,H27,과년도모음!$E$1:$E$1024,"철골")</f>
        <v/>
      </c>
      <c r="I38" s="9">
        <f>COUNTIFS(과년도모음!$B$1:$B$1024,I$2,과년도모음!$E$1:$E$1024,"강재")+COUNTIFS(과년도모음!$B$1:$B$1024,I27,과년도모음!$E$1:$E$1024,"철골")</f>
        <v/>
      </c>
      <c r="J38" s="9">
        <f>COUNTIFS(과년도모음!$B$1:$B$1024,J$2,과년도모음!$E$1:$E$1024,"강재")+COUNTIFS(과년도모음!$B$1:$B$1024,J27,과년도모음!$E$1:$E$1024,"철골")</f>
        <v/>
      </c>
      <c r="K38" s="9">
        <f>COUNTIFS(과년도모음!$B$1:$B$1024,K$2,과년도모음!$E$1:$E$1024,"강재")+COUNTIFS(과년도모음!$B$1:$B$1024,K27,과년도모음!$E$1:$E$1024,"철골")</f>
        <v/>
      </c>
      <c r="L38" s="9">
        <f>COUNTIFS(과년도모음!$B$1:$B$1024,L$2,과년도모음!$E$1:$E$1024,"강재")+COUNTIFS(과년도모음!$B$1:$B$1024,#REF!,과년도모음!$E$1:$E$1024,"철골")</f>
        <v/>
      </c>
      <c r="M38" s="9">
        <f>COUNTIFS(과년도모음!$B$1:$B$1024,M$2,과년도모음!$E$1:$E$1024,"강재")+COUNTIFS(과년도모음!$B$1:$B$1024,#REF!,과년도모음!$E$1:$E$1024,"철골")</f>
        <v/>
      </c>
      <c r="N38" s="9">
        <f>COUNTIFS(과년도모음!$B$281:$B$1024,N$2,과년도모음!$E$281:$E$1024,"강재")+COUNTIFS(과년도모음!$B$281:$B$1024,#REF!,과년도모음!$E$281:$E$1024,"철골")</f>
        <v/>
      </c>
      <c r="O38" s="9">
        <f>COUNTIFS(과년도모음!$B$312:$B$1024,O$2,과년도모음!$E$312:$E$1024,"강재")+COUNTIFS(과년도모음!$B$312:$B$1024,#REF!,과년도모음!$E$312:$E$1024,"철골")</f>
        <v/>
      </c>
      <c r="P38" s="9">
        <f>COUNTIFS(과년도모음!$B$343:$B$1024,P$2,과년도모음!$E$343:$E$1024,"강재")+COUNTIFS(과년도모음!$B$343:$B$1024,#REF!,과년도모음!$E$343:$E$1024,"철골")</f>
        <v/>
      </c>
      <c r="Q38" s="9">
        <f>COUNTIFS(과년도모음!$B$343:$B$1024,Q$2,과년도모음!$E$343:$E$1024,"강재")+COUNTIFS(과년도모음!$B$343:$B$1024,#REF!,과년도모음!$E$343:$E$1024,"철골")</f>
        <v/>
      </c>
      <c r="R38" s="9">
        <f>COUNTIFS(과년도모음!$B$405:$B$1024,R$2,과년도모음!$E$405:$E$1024,"강재")+COUNTIFS(과년도모음!$B$405:$B$1024,R$27,과년도모음!$E$405:$E$1024,"철골")</f>
        <v/>
      </c>
      <c r="S38" s="9">
        <f>COUNTIFS(과년도모음!$B$405:$B$1024,S$2,과년도모음!$E$405:$E$1024,"강재")+COUNTIFS(과년도모음!$B$405:$B$1024,S$27,과년도모음!$E$405:$E$1024,"철골")</f>
        <v/>
      </c>
      <c r="T38" s="9">
        <f>COUNTIFS(과년도모음!$B$405:$B$1024,T$2,과년도모음!$E$405:$E$1024,"강재")+COUNTIFS(과년도모음!$B$405:$B$1024,T$27,과년도모음!$E$405:$E$1024,"철골")</f>
        <v/>
      </c>
      <c r="U38" s="9">
        <f>COUNTIFS(과년도모음!$B$405:$B$1024,U$2,과년도모음!$E$405:$E$1024,"강재")+COUNTIFS(과년도모음!$B$405:$B$1024,U$27,과년도모음!$E$405:$E$1024,"철골")</f>
        <v/>
      </c>
      <c r="V38" s="9">
        <f>COUNTIFS(과년도모음!$B$405:$B$1024,V$2,과년도모음!$E$405:$E$1024,"강재")+COUNTIFS(과년도모음!$B$405:$B$1024,V$27,과년도모음!$E$405:$E$1024,"철골")</f>
        <v/>
      </c>
      <c r="W38" s="9">
        <f>COUNTIFS(과년도모음!$B$405:$B$1024,W$2,과년도모음!$E$405:$E$1024,"강재")+COUNTIFS(과년도모음!$B$405:$B$1024,W$27,과년도모음!$E$405:$E$1024,"철골")</f>
        <v/>
      </c>
      <c r="X38" s="9">
        <f>COUNTIFS(과년도모음!$B$405:$B$1024,X$2,과년도모음!$E$405:$E$1024,"강재")+COUNTIFS(과년도모음!$B$405:$B$1024,X$27,과년도모음!$E$405:$E$1024,"철골")</f>
        <v/>
      </c>
      <c r="Y38" s="9">
        <f>COUNTIFS(과년도모음!$B$405:$B$1024,Y$2,과년도모음!$E$405:$E$1024,"강재")+COUNTIFS(과년도모음!$B$405:$B$1024,Y$27,과년도모음!$E$405:$E$1024,"철골")</f>
        <v/>
      </c>
      <c r="Z38" s="9">
        <f>COUNTIFS(과년도모음!$B$405:$B$1024,Z$2,과년도모음!$E$405:$E$1024,"강재")+COUNTIFS(과년도모음!$B$405:$B$1024,Z$27,과년도모음!$E$405:$E$1024,"철골")</f>
        <v/>
      </c>
      <c r="AA38" s="9">
        <f>COUNTIFS(과년도모음!$B$405:$B$1024,AA$2,과년도모음!$E$405:$E$1024,"강재")+COUNTIFS(과년도모음!$B$405:$B$1024,AA$27,과년도모음!$E$405:$E$1024,"철골")</f>
        <v/>
      </c>
      <c r="AB38" s="9">
        <f>COUNTIFS(과년도모음!$B$405:$B$1024,AB$2,과년도모음!$E$405:$E$1024,"강재")+COUNTIFS(과년도모음!$B$405:$B$1024,AB$27,과년도모음!$E$405:$E$1024,"철골")</f>
        <v/>
      </c>
      <c r="AC38" s="9">
        <f>COUNTIFS(과년도모음!$B$405:$B$1024,AC$2,과년도모음!$E$405:$E$1024,"강재")+COUNTIFS(과년도모음!$B$405:$B$1024,AC$27,과년도모음!$E$405:$E$1024,"철골")</f>
        <v/>
      </c>
      <c r="AD38" s="9">
        <f>COUNTIFS(과년도모음!$B$405:$B$1024,AD$2,과년도모음!$E$405:$E$1024,"강재")+COUNTIFS(과년도모음!$B$405:$B$1024,AD$27,과년도모음!$E$405:$E$1024,"철골")</f>
        <v/>
      </c>
      <c r="AE38" s="9">
        <f>COUNTIFS(과년도모음!$B$405:$B$1024,AE$2,과년도모음!$E$405:$E$1024,"강재")+COUNTIFS(과년도모음!$B$405:$B$1024,AE$27,과년도모음!$E$405:$E$1024,"철골")</f>
        <v/>
      </c>
      <c r="AF38" s="9">
        <f>COUNTIFS(과년도모음!$B$405:$B$1024,AF$2,과년도모음!$E$405:$E$1024,"강재")+COUNTIFS(과년도모음!$B$405:$B$1024,AF$27,과년도모음!$E$405:$E$1024,"철골")</f>
        <v/>
      </c>
      <c r="AG38" s="9">
        <f>COUNTIFS(과년도모음!$B$405:$B$1024,AG$2,과년도모음!$E$405:$E$1024,"강재")+COUNTIFS(과년도모음!$B$405:$B$1024,AG$27,과년도모음!$E$405:$E$1024,"철골")</f>
        <v/>
      </c>
      <c r="AH38" s="9">
        <f>COUNTIFS(과년도모음!$B$405:$B$1024,AH$2,과년도모음!$E$405:$E$1024,"강재")+COUNTIFS(과년도모음!$B$405:$B$1024,#REF!,과년도모음!$E$405:$E$1024,"철골")</f>
        <v/>
      </c>
      <c r="AI38" s="9">
        <f>COUNTIFS(과년도모음!$B$405:$B$1024,AI$2,과년도모음!$E$405:$E$1024,"강재")+COUNTIFS(과년도모음!$B$405:$B$1024,#REF!,과년도모음!$E$405:$E$1024,"철골")</f>
        <v/>
      </c>
      <c r="AJ38" s="9">
        <f>COUNTIFS(과년도모음!$B$405:$B$1024,AJ$2,과년도모음!$E$405:$E$1024,"강재")+COUNTIFS(과년도모음!$B$405:$B$1024,AJ$27,과년도모음!$E$405:$E$1024,"철골")</f>
        <v/>
      </c>
      <c r="AK38" s="9">
        <f>COUNTIFS(과년도모음!$B$405:$B$1024,AK$2,과년도모음!$E$405:$E$1024,"강재")+COUNTIFS(과년도모음!$B$405:$B$1024,AK$27,과년도모음!$E$405:$E$1024,"철골")</f>
        <v/>
      </c>
      <c r="AL38" s="16" t="n"/>
    </row>
    <row r="39">
      <c r="A39" s="20">
        <f>RANK(E39,$E$28:$E$48)</f>
        <v/>
      </c>
      <c r="B39" s="111" t="inlineStr">
        <is>
          <t>터널</t>
        </is>
      </c>
      <c r="C39" s="121">
        <f>E39/$E$49</f>
        <v/>
      </c>
      <c r="D39" s="122">
        <f>E39/22</f>
        <v/>
      </c>
      <c r="E39" s="111">
        <f>SUM(F39:AK39)</f>
        <v/>
      </c>
      <c r="F39" s="9">
        <f>COUNTIFS(과년도모음!$B$1:$B$1024,F$2,과년도모음!$E$1:$E$1024,"터널")</f>
        <v/>
      </c>
      <c r="G39" s="9">
        <f>COUNTIFS(과년도모음!$B$1:$B$1024,G$2,과년도모음!$E$1:$E$1024,"터널")</f>
        <v/>
      </c>
      <c r="H39" s="9">
        <f>COUNTIFS(과년도모음!$B$1:$B$1024,H$2,과년도모음!$E$1:$E$1024,"터널")</f>
        <v/>
      </c>
      <c r="I39" s="9">
        <f>COUNTIFS(과년도모음!$B$1:$B$1024,I$2,과년도모음!$E$1:$E$1024,"터널")</f>
        <v/>
      </c>
      <c r="J39" s="9">
        <f>COUNTIFS(과년도모음!$B$1:$B$1024,J$2,과년도모음!$E$1:$E$1024,"터널")</f>
        <v/>
      </c>
      <c r="K39" s="9">
        <f>COUNTIFS(과년도모음!$B$1:$B$1024,K$2,과년도모음!$E$1:$E$1024,"터널")</f>
        <v/>
      </c>
      <c r="L39" s="9">
        <f>COUNTIFS(과년도모음!$B$1:$B$1024,L$2,과년도모음!$E$1:$E$1024,"터널")</f>
        <v/>
      </c>
      <c r="M39" s="9">
        <f>COUNTIFS(과년도모음!$B$1:$B$1024,M$2,과년도모음!$E$1:$E$1024,"터널")</f>
        <v/>
      </c>
      <c r="N39" s="9">
        <f>COUNTIFS(과년도모음!$B$281:$B$1024,N$2,과년도모음!$E$281:$E$1024,"터널")</f>
        <v/>
      </c>
      <c r="O39" s="9">
        <f>COUNTIFS(과년도모음!$B$312:$B$1024,O$2,과년도모음!$E$312:$E$1024,"터널")</f>
        <v/>
      </c>
      <c r="P39" s="9">
        <f>COUNTIFS(과년도모음!$B$343:$B$1024,P$2,과년도모음!$E$343:$E$1024,"터널")</f>
        <v/>
      </c>
      <c r="Q39" s="9">
        <f>COUNTIFS(과년도모음!$B$343:$B$1024,Q$2,과년도모음!$E$343:$E$1024,"터널")</f>
        <v/>
      </c>
      <c r="R39" s="9">
        <f>COUNTIFS(과년도모음!$B$405:$B$1024,R$2,과년도모음!$E$405:$E$1024,"터널")</f>
        <v/>
      </c>
      <c r="S39" s="9">
        <f>COUNTIFS(과년도모음!$B$405:$B$1024,S$2,과년도모음!$E$405:$E$1024,"터널")</f>
        <v/>
      </c>
      <c r="T39" s="9">
        <f>COUNTIFS(과년도모음!$B$405:$B$1024,T$2,과년도모음!$E$405:$E$1024,"터널")</f>
        <v/>
      </c>
      <c r="U39" s="9">
        <f>COUNTIFS(과년도모음!$B$405:$B$1024,U$2,과년도모음!$E$405:$E$1024,"터널")</f>
        <v/>
      </c>
      <c r="V39" s="9">
        <f>COUNTIFS(과년도모음!$B$405:$B$1024,V$2,과년도모음!$E$405:$E$1024,"터널")</f>
        <v/>
      </c>
      <c r="W39" s="9">
        <f>COUNTIFS(과년도모음!$B$405:$B$1024,W$2,과년도모음!$E$405:$E$1024,"터널")</f>
        <v/>
      </c>
      <c r="X39" s="9">
        <f>COUNTIFS(과년도모음!$B$405:$B$1024,X$2,과년도모음!$E$405:$E$1024,"터널")</f>
        <v/>
      </c>
      <c r="Y39" s="9">
        <f>COUNTIFS(과년도모음!$B$405:$B$1024,Y$2,과년도모음!$E$405:$E$1024,"터널")</f>
        <v/>
      </c>
      <c r="Z39" s="9">
        <f>COUNTIFS(과년도모음!$B$405:$B$1024,Z$2,과년도모음!$E$405:$E$1024,"터널")</f>
        <v/>
      </c>
      <c r="AA39" s="9">
        <f>COUNTIFS(과년도모음!$B$405:$B$1024,AA$2,과년도모음!$E$405:$E$1024,"터널")</f>
        <v/>
      </c>
      <c r="AB39" s="9">
        <f>COUNTIFS(과년도모음!$B$405:$B$1024,AB$2,과년도모음!$E$405:$E$1024,"터널")</f>
        <v/>
      </c>
      <c r="AC39" s="9">
        <f>COUNTIFS(과년도모음!$B$405:$B$1024,AC$2,과년도모음!$E$405:$E$1024,"터널")</f>
        <v/>
      </c>
      <c r="AD39" s="9">
        <f>COUNTIFS(과년도모음!$B$405:$B$1024,AD$2,과년도모음!$E$405:$E$1024,"터널")</f>
        <v/>
      </c>
      <c r="AE39" s="9">
        <f>COUNTIFS(과년도모음!$B$405:$B$1024,AE$2,과년도모음!$E$405:$E$1024,"터널")</f>
        <v/>
      </c>
      <c r="AF39" s="9">
        <f>COUNTIFS(과년도모음!$B$405:$B$1024,AF$2,과년도모음!$E$405:$E$1024,"터널")</f>
        <v/>
      </c>
      <c r="AG39" s="9">
        <f>COUNTIFS(과년도모음!$B$405:$B$1024,AG$2,과년도모음!$E$405:$E$1024,"터널")</f>
        <v/>
      </c>
      <c r="AH39" s="9">
        <f>COUNTIFS(과년도모음!$B$405:$B$1024,AH$2,과년도모음!$E$405:$E$1024,"터널")</f>
        <v/>
      </c>
      <c r="AI39" s="9">
        <f>COUNTIFS(과년도모음!$B$405:$B$1024,AI$2,과년도모음!$E$405:$E$1024,"터널")</f>
        <v/>
      </c>
      <c r="AJ39" s="9">
        <f>COUNTIFS(과년도모음!$B$405:$B$1024,AJ$2,과년도모음!$E$405:$E$1024,"터널")</f>
        <v/>
      </c>
      <c r="AK39" s="9">
        <f>COUNTIFS(과년도모음!$B$405:$B$1024,AK$2,과년도모음!$E$405:$E$1024,"터널")</f>
        <v/>
      </c>
      <c r="AL39" s="16" t="n"/>
    </row>
    <row r="40">
      <c r="A40" s="20">
        <f>RANK(E40,$E$28:$E$48)</f>
        <v/>
      </c>
      <c r="B40" s="111" t="inlineStr">
        <is>
          <t>기타(댐 제방 항만)</t>
        </is>
      </c>
      <c r="C40" s="121">
        <f>E40/$E$49</f>
        <v/>
      </c>
      <c r="D40" s="122">
        <f>E40/22</f>
        <v/>
      </c>
      <c r="E40" s="111">
        <f>SUM(F40:AK40)</f>
        <v/>
      </c>
      <c r="F40" s="9">
        <f>COUNTIFS(과년도모음!$B$1:$B$1024,F$2,과년도모음!$E$1:$E$1024,"제방 댐 항만")+COUNTIFS(과년도모음!$B$1:$B$1024,F$27,과년도모음!$E$1:$E$1024,"기타")</f>
        <v/>
      </c>
      <c r="G40" s="9">
        <f>COUNTIFS(과년도모음!$B$1:$B$1024,G$2,과년도모음!$E$1:$E$1024,"제방 댐 항만")+COUNTIFS(과년도모음!$B$1:$B$1024,G$27,과년도모음!$E$1:$E$1024,"기타")</f>
        <v/>
      </c>
      <c r="H40" s="9">
        <f>COUNTIFS(과년도모음!$B$1:$B$1024,H$2,과년도모음!$E$1:$E$1024,"제방 댐 항만")+COUNTIFS(과년도모음!$B$1:$B$1024,H$27,과년도모음!$E$1:$E$1024,"기타")</f>
        <v/>
      </c>
      <c r="I40" s="9">
        <f>COUNTIFS(과년도모음!$B$1:$B$1024,I$2,과년도모음!$E$1:$E$1024,"제방 댐 항만")+COUNTIFS(과년도모음!$B$1:$B$1024,I$27,과년도모음!$E$1:$E$1024,"기타")</f>
        <v/>
      </c>
      <c r="J40" s="9">
        <f>COUNTIFS(과년도모음!$B$1:$B$1024,J$2,과년도모음!$E$1:$E$1024,"제방 댐 항만")+COUNTIFS(과년도모음!$B$1:$B$1024,J$27,과년도모음!$E$1:$E$1024,"기타")</f>
        <v/>
      </c>
      <c r="K40" s="9">
        <f>COUNTIFS(과년도모음!$B$1:$B$1024,K$2,과년도모음!$E$1:$E$1024,"제방 댐 항만")+COUNTIFS(과년도모음!$B$1:$B$1024,K$27,과년도모음!$E$1:$E$1024,"기타")</f>
        <v/>
      </c>
      <c r="L40" s="9">
        <f>COUNTIFS(과년도모음!$B$1:$B$1024,L$2,과년도모음!$E$1:$E$1024,"제방 댐 항만")+COUNTIFS(과년도모음!$B$1:$B$1024,L$27,과년도모음!$E$1:$E$1024,"기타")</f>
        <v/>
      </c>
      <c r="M40" s="9">
        <f>COUNTIFS(과년도모음!$B$1:$B$1024,M$2,과년도모음!$E$1:$E$1024,"제방 댐 항만")+COUNTIFS(과년도모음!$B$1:$B$1024,M$27,과년도모음!$E$1:$E$1024,"기타")</f>
        <v/>
      </c>
      <c r="N40" s="9">
        <f>COUNTIFS(과년도모음!$B$281:$B$1024,N$2,과년도모음!$E$281:$E$1024,"제방 댐 항만")+COUNTIFS(과년도모음!$B$281:$B$1024,N$27,과년도모음!$E$281:$E$1024,"기타")</f>
        <v/>
      </c>
      <c r="O40" s="9">
        <f>COUNTIFS(과년도모음!$B$312:$B$1024,O$2,과년도모음!$E$312:$E$1024,"제방 댐 항만")+COUNTIFS(과년도모음!$B$312:$B$1024,O$27,과년도모음!$E$312:$E$1024,"기타")</f>
        <v/>
      </c>
      <c r="P40" s="9">
        <f>COUNTIFS(과년도모음!$B$343:$B$1024,P$2,과년도모음!$E$343:$E$1024,"제방 댐 항만")+COUNTIFS(과년도모음!$B$343:$B$1024,P$27,과년도모음!$E$343:$E$1024,"기타")</f>
        <v/>
      </c>
      <c r="Q40" s="9">
        <f>COUNTIFS(과년도모음!$B$343:$B$1024,Q$2,과년도모음!$E$343:$E$1024,"제방 댐 항만")+COUNTIFS(과년도모음!$B$343:$B$1024,#REF!,과년도모음!$E$343:$E$1024,"기타")</f>
        <v/>
      </c>
      <c r="R40" s="9">
        <f>COUNTIFS(과년도모음!$B$405:$B$1024,R$2,과년도모음!$E$405:$E$1024,"제방 댐 항만")+COUNTIFS(과년도모음!$B$405:$B$1024,R$27,과년도모음!$E$405:$E$1024,"기타")</f>
        <v/>
      </c>
      <c r="S40" s="9">
        <f>COUNTIFS(과년도모음!$B$405:$B$1024,S$2,과년도모음!$E$405:$E$1024,"제방 댐 항만")+COUNTIFS(과년도모음!$B$405:$B$1024,S$27,과년도모음!$E$405:$E$1024,"기타")</f>
        <v/>
      </c>
      <c r="T40" s="9">
        <f>COUNTIFS(과년도모음!$B$405:$B$1024,T$2,과년도모음!$E$405:$E$1024,"제방 댐 항만")+COUNTIFS(과년도모음!$B$405:$B$1024,T$27,과년도모음!$E$405:$E$1024,"기타")</f>
        <v/>
      </c>
      <c r="U40" s="9">
        <f>COUNTIFS(과년도모음!$B$405:$B$1024,U$2,과년도모음!$E$405:$E$1024,"제방 댐 항만")+COUNTIFS(과년도모음!$B$405:$B$1024,U$27,과년도모음!$E$405:$E$1024,"기타")</f>
        <v/>
      </c>
      <c r="V40" s="9">
        <f>COUNTIFS(과년도모음!$B$405:$B$1024,V$2,과년도모음!$E$405:$E$1024,"제방 댐 항만")+COUNTIFS(과년도모음!$B$405:$B$1024,V$27,과년도모음!$E$405:$E$1024,"기타")</f>
        <v/>
      </c>
      <c r="W40" s="9">
        <f>COUNTIFS(과년도모음!$B$405:$B$1024,W$2,과년도모음!$E$405:$E$1024,"제방 댐 항만")+COUNTIFS(과년도모음!$B$405:$B$1024,W$27,과년도모음!$E$405:$E$1024,"기타")</f>
        <v/>
      </c>
      <c r="X40" s="9">
        <f>COUNTIFS(과년도모음!$B$405:$B$1024,X$2,과년도모음!$E$405:$E$1024,"제방 댐 항만")+COUNTIFS(과년도모음!$B$405:$B$1024,X$27,과년도모음!$E$405:$E$1024,"기타")</f>
        <v/>
      </c>
      <c r="Y40" s="9">
        <f>COUNTIFS(과년도모음!$B$405:$B$1024,Y$2,과년도모음!$E$405:$E$1024,"제방 댐 항만")+COUNTIFS(과년도모음!$B$405:$B$1024,Y$27,과년도모음!$E$405:$E$1024,"기타")</f>
        <v/>
      </c>
      <c r="Z40" s="9">
        <f>COUNTIFS(과년도모음!$B$405:$B$1024,Z$2,과년도모음!$E$405:$E$1024,"제방 댐 항만")+COUNTIFS(과년도모음!$B$405:$B$1024,Z$27,과년도모음!$E$405:$E$1024,"기타")</f>
        <v/>
      </c>
      <c r="AA40" s="9">
        <f>COUNTIFS(과년도모음!$B$405:$B$1024,AA$2,과년도모음!$E$405:$E$1024,"제방 댐 항만")+COUNTIFS(과년도모음!$B$405:$B$1024,AA$27,과년도모음!$E$405:$E$1024,"기타")</f>
        <v/>
      </c>
      <c r="AB40" s="9">
        <f>COUNTIFS(과년도모음!$B$405:$B$1024,AB$2,과년도모음!$E$405:$E$1024,"제방 댐 항만")+COUNTIFS(과년도모음!$B$405:$B$1024,AB$27,과년도모음!$E$405:$E$1024,"기타")</f>
        <v/>
      </c>
      <c r="AC40" s="9">
        <f>COUNTIFS(과년도모음!$B$405:$B$1024,AC$2,과년도모음!$E$405:$E$1024,"제방 댐 항만")+COUNTIFS(과년도모음!$B$405:$B$1024,AC$27,과년도모음!$E$405:$E$1024,"기타")</f>
        <v/>
      </c>
      <c r="AD40" s="9">
        <f>COUNTIFS(과년도모음!$B$405:$B$1024,AD$2,과년도모음!$E$405:$E$1024,"제방 댐 항만")+COUNTIFS(과년도모음!$B$405:$B$1024,AD$27,과년도모음!$E$405:$E$1024,"기타")</f>
        <v/>
      </c>
      <c r="AE40" s="9">
        <f>COUNTIFS(과년도모음!$B$405:$B$1024,AE$2,과년도모음!$E$405:$E$1024,"제방 댐 항만")+COUNTIFS(과년도모음!$B$405:$B$1024,AE$27,과년도모음!$E$405:$E$1024,"기타")</f>
        <v/>
      </c>
      <c r="AF40" s="9">
        <f>COUNTIFS(과년도모음!$B$405:$B$1024,AF$2,과년도모음!$E$405:$E$1024,"제방 댐 항만")+COUNTIFS(과년도모음!$B$405:$B$1024,AF$27,과년도모음!$E$405:$E$1024,"기타")</f>
        <v/>
      </c>
      <c r="AG40" s="9">
        <f>COUNTIFS(과년도모음!$B$405:$B$1024,AG$2,과년도모음!$E$405:$E$1024,"제방 댐 항만")+COUNTIFS(과년도모음!$B$405:$B$1024,AG$27,과년도모음!$E$405:$E$1024,"기타")</f>
        <v/>
      </c>
      <c r="AH40" s="9">
        <f>COUNTIFS(과년도모음!$B$405:$B$1024,AH$2,과년도모음!$E$405:$E$1024,"제방 댐 항만")+COUNTIFS(과년도모음!$B$405:$B$1024,#REF!,과년도모음!$E$405:$E$1024,"기타")</f>
        <v/>
      </c>
      <c r="AI40" s="9">
        <f>COUNTIFS(과년도모음!$B$405:$B$1024,AI$2,과년도모음!$E$405:$E$1024,"제방 댐 항만")+COUNTIFS(과년도모음!$B$405:$B$1024,#REF!,과년도모음!$E$405:$E$1024,"기타")</f>
        <v/>
      </c>
      <c r="AJ40" s="9">
        <f>COUNTIFS(과년도모음!$B$405:$B$1024,AJ$2,과년도모음!$E$405:$E$1024,"제방 댐 항만")+COUNTIFS(과년도모음!$B$405:$B$1024,AJ$27,과년도모음!$E$405:$E$1024,"기타")</f>
        <v/>
      </c>
      <c r="AK40" s="9">
        <f>COUNTIFS(과년도모음!$B$405:$B$1024,AK$2,과년도모음!$E$405:$E$1024,"제방 댐 항만")+COUNTIFS(과년도모음!$B$405:$B$1024,AK$27,과년도모음!$E$405:$E$1024,"기타")</f>
        <v/>
      </c>
      <c r="AL40" s="16" t="n"/>
    </row>
    <row r="41">
      <c r="A41" s="20">
        <f>RANK(E41,$E$28:$E$48)</f>
        <v/>
      </c>
      <c r="B41" s="111" t="inlineStr">
        <is>
          <t>해체공사</t>
        </is>
      </c>
      <c r="C41" s="121">
        <f>E41/$E$49</f>
        <v/>
      </c>
      <c r="D41" s="122">
        <f>E41/22</f>
        <v/>
      </c>
      <c r="E41" s="111">
        <f>SUM(F41:AK41)</f>
        <v/>
      </c>
      <c r="F41" s="9">
        <f>COUNTIFS(과년도모음!$B$1:$B$1024,F$2,과년도모음!$E$1:$E$1024,"해체공사")</f>
        <v/>
      </c>
      <c r="G41" s="9">
        <f>COUNTIFS(과년도모음!$B$1:$B$1024,G$2,과년도모음!$E$1:$E$1024,"해체공사")</f>
        <v/>
      </c>
      <c r="H41" s="9">
        <f>COUNTIFS(과년도모음!$B$1:$B$1024,H$2,과년도모음!$E$1:$E$1024,"해체공사")</f>
        <v/>
      </c>
      <c r="I41" s="9">
        <f>COUNTIFS(과년도모음!$B$1:$B$1024,I$2,과년도모음!$E$1:$E$1024,"해체공사")</f>
        <v/>
      </c>
      <c r="J41" s="9">
        <f>COUNTIFS(과년도모음!$B$1:$B$1024,J$2,과년도모음!$E$1:$E$1024,"해체공사")</f>
        <v/>
      </c>
      <c r="K41" s="9">
        <f>COUNTIFS(과년도모음!$B$1:$B$1024,K$2,과년도모음!$E$1:$E$1024,"해체공사")</f>
        <v/>
      </c>
      <c r="L41" s="9">
        <f>COUNTIFS(과년도모음!$B$1:$B$1024,L$2,과년도모음!$E$1:$E$1024,"해체공사")</f>
        <v/>
      </c>
      <c r="M41" s="9">
        <f>COUNTIFS(과년도모음!$B$1:$B$1024,M$2,과년도모음!$E$1:$E$1024,"해체공사")</f>
        <v/>
      </c>
      <c r="N41" s="9">
        <f>COUNTIFS(과년도모음!$B$281:$B$1024,N$2,과년도모음!$E$281:$E$1024,"해체공사")</f>
        <v/>
      </c>
      <c r="O41" s="9">
        <f>COUNTIFS(과년도모음!$B$312:$B$1024,O$2,과년도모음!$E$312:$E$1024,"해체공사")</f>
        <v/>
      </c>
      <c r="P41" s="9">
        <f>COUNTIFS(과년도모음!$B$343:$B$1024,P$2,과년도모음!$E$343:$E$1024,"해체공사")</f>
        <v/>
      </c>
      <c r="Q41" s="9">
        <f>COUNTIFS(과년도모음!$B$343:$B$1024,Q$2,과년도모음!$E$343:$E$1024,"해체공사")</f>
        <v/>
      </c>
      <c r="R41" s="9">
        <f>COUNTIFS(과년도모음!$B$405:$B$1024,R$2,과년도모음!$E$405:$E$1024,"해체공사")</f>
        <v/>
      </c>
      <c r="S41" s="9">
        <f>COUNTIFS(과년도모음!$B$405:$B$1024,S$2,과년도모음!$E$405:$E$1024,"해체공사")</f>
        <v/>
      </c>
      <c r="T41" s="9">
        <f>COUNTIFS(과년도모음!$B$405:$B$1024,T$2,과년도모음!$E$405:$E$1024,"해체공사")</f>
        <v/>
      </c>
      <c r="U41" s="9">
        <f>COUNTIFS(과년도모음!$B$405:$B$1024,U$2,과년도모음!$E$405:$E$1024,"해체공사")</f>
        <v/>
      </c>
      <c r="V41" s="9">
        <f>COUNTIFS(과년도모음!$B$405:$B$1024,V$2,과년도모음!$E$405:$E$1024,"해체공사")</f>
        <v/>
      </c>
      <c r="W41" s="9">
        <f>COUNTIFS(과년도모음!$B$405:$B$1024,W$2,과년도모음!$E$405:$E$1024,"해체공사")</f>
        <v/>
      </c>
      <c r="X41" s="9">
        <f>COUNTIFS(과년도모음!$B$405:$B$1024,X$2,과년도모음!$E$405:$E$1024,"해체공사")</f>
        <v/>
      </c>
      <c r="Y41" s="9">
        <f>COUNTIFS(과년도모음!$B$405:$B$1024,Y$2,과년도모음!$E$405:$E$1024,"해체공사")</f>
        <v/>
      </c>
      <c r="Z41" s="9">
        <f>COUNTIFS(과년도모음!$B$405:$B$1024,Z$2,과년도모음!$E$405:$E$1024,"해체공사")</f>
        <v/>
      </c>
      <c r="AA41" s="9">
        <f>COUNTIFS(과년도모음!$B$405:$B$1024,AA$2,과년도모음!$E$405:$E$1024,"해체공사")</f>
        <v/>
      </c>
      <c r="AB41" s="9">
        <f>COUNTIFS(과년도모음!$B$405:$B$1024,AB$2,과년도모음!$E$405:$E$1024,"해체공사")</f>
        <v/>
      </c>
      <c r="AC41" s="9">
        <f>COUNTIFS(과년도모음!$B$405:$B$1024,AC$2,과년도모음!$E$405:$E$1024,"해체공사")</f>
        <v/>
      </c>
      <c r="AD41" s="9">
        <f>COUNTIFS(과년도모음!$B$405:$B$1024,AD$2,과년도모음!$E$405:$E$1024,"해체공사")</f>
        <v/>
      </c>
      <c r="AE41" s="9">
        <f>COUNTIFS(과년도모음!$B$405:$B$1024,AE$2,과년도모음!$E$405:$E$1024,"해체공사")</f>
        <v/>
      </c>
      <c r="AF41" s="9">
        <f>COUNTIFS(과년도모음!$B$405:$B$1024,AF$2,과년도모음!$E$405:$E$1024,"해체공사")</f>
        <v/>
      </c>
      <c r="AG41" s="9">
        <f>COUNTIFS(과년도모음!$B$405:$B$1024,AG$2,과년도모음!$E$405:$E$1024,"해체공사")</f>
        <v/>
      </c>
      <c r="AH41" s="9">
        <f>COUNTIFS(과년도모음!$B$405:$B$1024,AH$2,과년도모음!$E$405:$E$1024,"해체공사")</f>
        <v/>
      </c>
      <c r="AI41" s="9">
        <f>COUNTIFS(과년도모음!$B$405:$B$1024,AI$2,과년도모음!$E$405:$E$1024,"해체공사")</f>
        <v/>
      </c>
      <c r="AJ41" s="9">
        <f>COUNTIFS(과년도모음!$B$405:$B$1024,AJ$2,과년도모음!$E$405:$E$1024,"해체공사")</f>
        <v/>
      </c>
      <c r="AK41" s="9">
        <f>COUNTIFS(과년도모음!$B$405:$B$1024,AK$2,과년도모음!$E$405:$E$1024,"해체공사")</f>
        <v/>
      </c>
      <c r="AL41" s="16" t="n"/>
    </row>
    <row r="42">
      <c r="A42" s="20">
        <f>RANK(E42,$E$28:$E$48)</f>
        <v/>
      </c>
      <c r="B42" s="111" t="inlineStr">
        <is>
          <t>건축</t>
        </is>
      </c>
      <c r="C42" s="121">
        <f>E42/$E$49</f>
        <v/>
      </c>
      <c r="D42" s="122">
        <f>E42/22</f>
        <v/>
      </c>
      <c r="E42" s="111">
        <f>SUM(F42:AK42)</f>
        <v/>
      </c>
      <c r="F42" s="9">
        <f>COUNTIFS(과년도모음!$B$1:$B$1024,F$2,과년도모음!$E$1:$E$1024,"건축")</f>
        <v/>
      </c>
      <c r="G42" s="9">
        <f>COUNTIFS(과년도모음!$B$1:$B$1024,G$2,과년도모음!$E$1:$E$1024,"건축")</f>
        <v/>
      </c>
      <c r="H42" s="9">
        <f>COUNTIFS(과년도모음!$B$1:$B$1024,H$2,과년도모음!$E$1:$E$1024,"건축")</f>
        <v/>
      </c>
      <c r="I42" s="9">
        <f>COUNTIFS(과년도모음!$B$1:$B$1024,I$2,과년도모음!$E$1:$E$1024,"건축")</f>
        <v/>
      </c>
      <c r="J42" s="9">
        <f>COUNTIFS(과년도모음!$B$1:$B$1024,J$2,과년도모음!$E$1:$E$1024,"건축")</f>
        <v/>
      </c>
      <c r="K42" s="9">
        <f>COUNTIFS(과년도모음!$B$1:$B$1024,K$2,과년도모음!$E$1:$E$1024,"건축")</f>
        <v/>
      </c>
      <c r="L42" s="9">
        <f>COUNTIFS(과년도모음!$B$1:$B$1024,L$2,과년도모음!$E$1:$E$1024,"건축")</f>
        <v/>
      </c>
      <c r="M42" s="9">
        <f>COUNTIFS(과년도모음!$B$1:$B$1024,M$2,과년도모음!$E$1:$E$1024,"건축")</f>
        <v/>
      </c>
      <c r="N42" s="9">
        <f>COUNTIFS(과년도모음!$B$281:$B$1024,N$2,과년도모음!$E$281:$E$1024,"건축")</f>
        <v/>
      </c>
      <c r="O42" s="9">
        <f>COUNTIFS(과년도모음!$B$312:$B$1024,O$2,과년도모음!$E$312:$E$1024,"건축")</f>
        <v/>
      </c>
      <c r="P42" s="9">
        <f>COUNTIFS(과년도모음!$B$343:$B$1024,P$2,과년도모음!$E$343:$E$1024,"건축")</f>
        <v/>
      </c>
      <c r="Q42" s="9">
        <f>COUNTIFS(과년도모음!$B$343:$B$1024,Q$2,과년도모음!$E$343:$E$1024,"건축")</f>
        <v/>
      </c>
      <c r="R42" s="9">
        <f>COUNTIFS(과년도모음!$B$405:$B$1024,R$2,과년도모음!$E$405:$E$1024,"건축")</f>
        <v/>
      </c>
      <c r="S42" s="9">
        <f>COUNTIFS(과년도모음!$B$405:$B$1024,S$2,과년도모음!$E$405:$E$1024,"건축")</f>
        <v/>
      </c>
      <c r="T42" s="9">
        <f>COUNTIFS(과년도모음!$B$405:$B$1024,T$2,과년도모음!$E$405:$E$1024,"건축")</f>
        <v/>
      </c>
      <c r="U42" s="9">
        <f>COUNTIFS(과년도모음!$B$405:$B$1024,U$2,과년도모음!$E$405:$E$1024,"건축")</f>
        <v/>
      </c>
      <c r="V42" s="9">
        <f>COUNTIFS(과년도모음!$B$405:$B$1024,V$2,과년도모음!$E$405:$E$1024,"건축")</f>
        <v/>
      </c>
      <c r="W42" s="9">
        <f>COUNTIFS(과년도모음!$B$405:$B$1024,W$2,과년도모음!$E$405:$E$1024,"건축")</f>
        <v/>
      </c>
      <c r="X42" s="9">
        <f>COUNTIFS(과년도모음!$B$405:$B$1024,X$2,과년도모음!$E$405:$E$1024,"건축")</f>
        <v/>
      </c>
      <c r="Y42" s="9">
        <f>COUNTIFS(과년도모음!$B$405:$B$1024,Y$2,과년도모음!$E$405:$E$1024,"건축")</f>
        <v/>
      </c>
      <c r="Z42" s="9">
        <f>COUNTIFS(과년도모음!$B$405:$B$1024,Z$2,과년도모음!$E$405:$E$1024,"건축")</f>
        <v/>
      </c>
      <c r="AA42" s="9">
        <f>COUNTIFS(과년도모음!$B$405:$B$1024,AA$2,과년도모음!$E$405:$E$1024,"건축")</f>
        <v/>
      </c>
      <c r="AB42" s="9">
        <f>COUNTIFS(과년도모음!$B$405:$B$1024,AB$2,과년도모음!$E$405:$E$1024,"건축")</f>
        <v/>
      </c>
      <c r="AC42" s="9">
        <f>COUNTIFS(과년도모음!$B$405:$B$1024,AC$2,과년도모음!$E$405:$E$1024,"건축")</f>
        <v/>
      </c>
      <c r="AD42" s="9">
        <f>COUNTIFS(과년도모음!$B$405:$B$1024,AD$2,과년도모음!$E$405:$E$1024,"건축")</f>
        <v/>
      </c>
      <c r="AE42" s="9">
        <f>COUNTIFS(과년도모음!$B$405:$B$1024,AE$2,과년도모음!$E$405:$E$1024,"건축")</f>
        <v/>
      </c>
      <c r="AF42" s="9">
        <f>COUNTIFS(과년도모음!$B$405:$B$1024,AF$2,과년도모음!$E$405:$E$1024,"건축")</f>
        <v/>
      </c>
      <c r="AG42" s="9">
        <f>COUNTIFS(과년도모음!$B$405:$B$1024,AG$2,과년도모음!$E$405:$E$1024,"건축")</f>
        <v/>
      </c>
      <c r="AH42" s="9">
        <f>COUNTIFS(과년도모음!$B$405:$B$1024,AH$2,과년도모음!$E$405:$E$1024,"건축")</f>
        <v/>
      </c>
      <c r="AI42" s="9">
        <f>COUNTIFS(과년도모음!$B$405:$B$1024,AI$2,과년도모음!$E$405:$E$1024,"건축")</f>
        <v/>
      </c>
      <c r="AJ42" s="9">
        <f>COUNTIFS(과년도모음!$B$405:$B$1024,AJ$2,과년도모음!$E$405:$E$1024,"건축")</f>
        <v/>
      </c>
      <c r="AK42" s="9">
        <f>COUNTIFS(과년도모음!$B$405:$B$1024,AK$2,과년도모음!$E$405:$E$1024,"건축")</f>
        <v/>
      </c>
      <c r="AL42" s="16" t="n"/>
    </row>
    <row r="43">
      <c r="A43" s="20">
        <f>RANK(E43,$E$28:$E$48)</f>
        <v/>
      </c>
      <c r="B43" s="111" t="inlineStr">
        <is>
          <t>지진</t>
        </is>
      </c>
      <c r="C43" s="121">
        <f>E43/$E$49</f>
        <v/>
      </c>
      <c r="D43" s="122">
        <f>E43/22</f>
        <v/>
      </c>
      <c r="E43" s="111">
        <f>SUM(F43:AK43)</f>
        <v/>
      </c>
      <c r="F43" s="9">
        <f>COUNTIFS(과년도모음!$B$1:$B$1024,F$2,과년도모음!$E$1:$E$1024,"지진")</f>
        <v/>
      </c>
      <c r="G43" s="9">
        <f>COUNTIFS(과년도모음!$B$1:$B$1024,G$2,과년도모음!$E$1:$E$1024,"지진")</f>
        <v/>
      </c>
      <c r="H43" s="9">
        <f>COUNTIFS(과년도모음!$B$1:$B$1024,H$2,과년도모음!$E$1:$E$1024,"지진")</f>
        <v/>
      </c>
      <c r="I43" s="9">
        <f>COUNTIFS(과년도모음!$B$1:$B$1024,I$2,과년도모음!$E$1:$E$1024,"지진")</f>
        <v/>
      </c>
      <c r="J43" s="9">
        <f>COUNTIFS(과년도모음!$B$1:$B$1024,J$2,과년도모음!$E$1:$E$1024,"지진")</f>
        <v/>
      </c>
      <c r="K43" s="9">
        <f>COUNTIFS(과년도모음!$B$1:$B$1024,K$2,과년도모음!$E$1:$E$1024,"지진")</f>
        <v/>
      </c>
      <c r="L43" s="9">
        <f>COUNTIFS(과년도모음!$B$1:$B$1024,L$2,과년도모음!$E$1:$E$1024,"지진")</f>
        <v/>
      </c>
      <c r="M43" s="9">
        <f>COUNTIFS(과년도모음!$B$1:$B$1024,M$2,과년도모음!$E$1:$E$1024,"지진")</f>
        <v/>
      </c>
      <c r="N43" s="9">
        <f>COUNTIFS(과년도모음!$B$281:$B$1024,N$2,과년도모음!$E$281:$E$1024,"지진")</f>
        <v/>
      </c>
      <c r="O43" s="9">
        <f>COUNTIFS(과년도모음!$B$312:$B$1024,O$2,과년도모음!$E$312:$E$1024,"지진")</f>
        <v/>
      </c>
      <c r="P43" s="9">
        <f>COUNTIFS(과년도모음!$B$343:$B$1024,P$2,과년도모음!$E$343:$E$1024,"지진")</f>
        <v/>
      </c>
      <c r="Q43" s="9">
        <f>COUNTIFS(과년도모음!$B$343:$B$1024,Q$2,과년도모음!$E$343:$E$1024,"지진")</f>
        <v/>
      </c>
      <c r="R43" s="9">
        <f>COUNTIFS(과년도모음!$B$405:$B$1024,R$2,과년도모음!$E$405:$E$1024,"지진")</f>
        <v/>
      </c>
      <c r="S43" s="9">
        <f>COUNTIFS(과년도모음!$B$405:$B$1024,S$2,과년도모음!$E$405:$E$1024,"지진")</f>
        <v/>
      </c>
      <c r="T43" s="9">
        <f>COUNTIFS(과년도모음!$B$405:$B$1024,T$2,과년도모음!$E$405:$E$1024,"지진")</f>
        <v/>
      </c>
      <c r="U43" s="9">
        <f>COUNTIFS(과년도모음!$B$405:$B$1024,U$2,과년도모음!$E$405:$E$1024,"지진")</f>
        <v/>
      </c>
      <c r="V43" s="9">
        <f>COUNTIFS(과년도모음!$B$405:$B$1024,V$2,과년도모음!$E$405:$E$1024,"지진")</f>
        <v/>
      </c>
      <c r="W43" s="9">
        <f>COUNTIFS(과년도모음!$B$405:$B$1024,W$2,과년도모음!$E$405:$E$1024,"지진")</f>
        <v/>
      </c>
      <c r="X43" s="9">
        <f>COUNTIFS(과년도모음!$B$405:$B$1024,X$2,과년도모음!$E$405:$E$1024,"지진")</f>
        <v/>
      </c>
      <c r="Y43" s="9">
        <f>COUNTIFS(과년도모음!$B$405:$B$1024,Y$2,과년도모음!$E$405:$E$1024,"지진")</f>
        <v/>
      </c>
      <c r="Z43" s="9">
        <f>COUNTIFS(과년도모음!$B$405:$B$1024,Z$2,과년도모음!$E$405:$E$1024,"지진")</f>
        <v/>
      </c>
      <c r="AA43" s="9">
        <f>COUNTIFS(과년도모음!$B$405:$B$1024,AA$2,과년도모음!$E$405:$E$1024,"지진")</f>
        <v/>
      </c>
      <c r="AB43" s="9">
        <f>COUNTIFS(과년도모음!$B$405:$B$1024,AB$2,과년도모음!$E$405:$E$1024,"지진")</f>
        <v/>
      </c>
      <c r="AC43" s="9">
        <f>COUNTIFS(과년도모음!$B$405:$B$1024,AC$2,과년도모음!$E$405:$E$1024,"지진")</f>
        <v/>
      </c>
      <c r="AD43" s="9">
        <f>COUNTIFS(과년도모음!$B$405:$B$1024,AD$2,과년도모음!$E$405:$E$1024,"지진")</f>
        <v/>
      </c>
      <c r="AE43" s="9">
        <f>COUNTIFS(과년도모음!$B$405:$B$1024,AE$2,과년도모음!$E$405:$E$1024,"지진")</f>
        <v/>
      </c>
      <c r="AF43" s="9">
        <f>COUNTIFS(과년도모음!$B$405:$B$1024,AF$2,과년도모음!$E$405:$E$1024,"지진")</f>
        <v/>
      </c>
      <c r="AG43" s="9">
        <f>COUNTIFS(과년도모음!$B$405:$B$1024,AG$2,과년도모음!$E$405:$E$1024,"지진")</f>
        <v/>
      </c>
      <c r="AH43" s="9">
        <f>COUNTIFS(과년도모음!$B$405:$B$1024,AH$2,과년도모음!$E$405:$E$1024,"지진")</f>
        <v/>
      </c>
      <c r="AI43" s="9">
        <f>COUNTIFS(과년도모음!$B$405:$B$1024,AI$2,과년도모음!$E$405:$E$1024,"지진")</f>
        <v/>
      </c>
      <c r="AJ43" s="9">
        <f>COUNTIFS(과년도모음!$B$405:$B$1024,AJ$2,과년도모음!$E$405:$E$1024,"지진")</f>
        <v/>
      </c>
      <c r="AK43" s="9">
        <f>COUNTIFS(과년도모음!$B$405:$B$1024,AK$2,과년도모음!$E$405:$E$1024,"지진")</f>
        <v/>
      </c>
      <c r="AL43" s="16" t="n"/>
    </row>
    <row r="44">
      <c r="A44" s="20">
        <f>RANK(E44,$E$28:$E$48)</f>
        <v/>
      </c>
      <c r="B44" s="111" t="inlineStr">
        <is>
          <t>계절재해</t>
        </is>
      </c>
      <c r="C44" s="121">
        <f>E44/$E$49</f>
        <v/>
      </c>
      <c r="D44" s="122">
        <f>E44/22</f>
        <v/>
      </c>
      <c r="E44" s="111">
        <f>SUM(F44:AK44)</f>
        <v/>
      </c>
      <c r="F44" s="9">
        <f>COUNTIFS(과년도모음!$B$1:$B$1024,F$2,과년도모음!$E$1:$E$1024,"계절재해")</f>
        <v/>
      </c>
      <c r="G44" s="9">
        <f>COUNTIFS(과년도모음!$B$1:$B$1024,G$2,과년도모음!$E$1:$E$1024,"계절재해")</f>
        <v/>
      </c>
      <c r="H44" s="9">
        <f>COUNTIFS(과년도모음!$B$1:$B$1024,H$2,과년도모음!$E$1:$E$1024,"계절재해")</f>
        <v/>
      </c>
      <c r="I44" s="9">
        <f>COUNTIFS(과년도모음!$B$1:$B$1024,I$2,과년도모음!$E$1:$E$1024,"계절재해")</f>
        <v/>
      </c>
      <c r="J44" s="9">
        <f>COUNTIFS(과년도모음!$B$1:$B$1024,J$2,과년도모음!$E$1:$E$1024,"계절재해")</f>
        <v/>
      </c>
      <c r="K44" s="9">
        <f>COUNTIFS(과년도모음!$B$1:$B$1024,K$2,과년도모음!$E$1:$E$1024,"계절재해")</f>
        <v/>
      </c>
      <c r="L44" s="9">
        <f>COUNTIFS(과년도모음!$B$1:$B$1024,L$2,과년도모음!$E$1:$E$1024,"계절재해")</f>
        <v/>
      </c>
      <c r="M44" s="9">
        <f>COUNTIFS(과년도모음!$B$1:$B$1024,M$2,과년도모음!$E$1:$E$1024,"계절재해")</f>
        <v/>
      </c>
      <c r="N44" s="9">
        <f>COUNTIFS(과년도모음!$B$281:$B$1024,N$2,과년도모음!$E$281:$E$1024,"계절재해")</f>
        <v/>
      </c>
      <c r="O44" s="9">
        <f>COUNTIFS(과년도모음!$B$312:$B$1024,O$2,과년도모음!$E$312:$E$1024,"계절재해")</f>
        <v/>
      </c>
      <c r="P44" s="9">
        <f>COUNTIFS(과년도모음!$B$343:$B$1024,P$2,과년도모음!$E$343:$E$1024,"계절재해")</f>
        <v/>
      </c>
      <c r="Q44" s="9">
        <f>COUNTIFS(과년도모음!$B$343:$B$1024,Q$2,과년도모음!$E$343:$E$1024,"계절재해")</f>
        <v/>
      </c>
      <c r="R44" s="9">
        <f>COUNTIFS(과년도모음!$B$405:$B$1024,R$2,과년도모음!$E$405:$E$1024,"계절재해")</f>
        <v/>
      </c>
      <c r="S44" s="9">
        <f>COUNTIFS(과년도모음!$B$405:$B$1024,S$2,과년도모음!$E$405:$E$1024,"계절재해")</f>
        <v/>
      </c>
      <c r="T44" s="9">
        <f>COUNTIFS(과년도모음!$B$405:$B$1024,T$2,과년도모음!$E$405:$E$1024,"계절재해")</f>
        <v/>
      </c>
      <c r="U44" s="9">
        <f>COUNTIFS(과년도모음!$B$405:$B$1024,U$2,과년도모음!$E$405:$E$1024,"계절재해")</f>
        <v/>
      </c>
      <c r="V44" s="9">
        <f>COUNTIFS(과년도모음!$B$405:$B$1024,V$2,과년도모음!$E$405:$E$1024,"계절재해")</f>
        <v/>
      </c>
      <c r="W44" s="9">
        <f>COUNTIFS(과년도모음!$B$405:$B$1024,W$2,과년도모음!$E$405:$E$1024,"계절재해")</f>
        <v/>
      </c>
      <c r="X44" s="9">
        <f>COUNTIFS(과년도모음!$B$405:$B$1024,X$2,과년도모음!$E$405:$E$1024,"계절재해")</f>
        <v/>
      </c>
      <c r="Y44" s="9">
        <f>COUNTIFS(과년도모음!$B$405:$B$1024,Y$2,과년도모음!$E$405:$E$1024,"계절재해")</f>
        <v/>
      </c>
      <c r="Z44" s="9">
        <f>COUNTIFS(과년도모음!$B$405:$B$1024,Z$2,과년도모음!$E$405:$E$1024,"계절재해")</f>
        <v/>
      </c>
      <c r="AA44" s="9">
        <f>COUNTIFS(과년도모음!$B$405:$B$1024,AA$2,과년도모음!$E$405:$E$1024,"계절재해")</f>
        <v/>
      </c>
      <c r="AB44" s="9">
        <f>COUNTIFS(과년도모음!$B$405:$B$1024,AB$2,과년도모음!$E$405:$E$1024,"계절재해")</f>
        <v/>
      </c>
      <c r="AC44" s="9">
        <f>COUNTIFS(과년도모음!$B$405:$B$1024,AC$2,과년도모음!$E$405:$E$1024,"계절재해")</f>
        <v/>
      </c>
      <c r="AD44" s="9">
        <f>COUNTIFS(과년도모음!$B$405:$B$1024,AD$2,과년도모음!$E$405:$E$1024,"계절재해")</f>
        <v/>
      </c>
      <c r="AE44" s="9">
        <f>COUNTIFS(과년도모음!$B$405:$B$1024,AE$2,과년도모음!$E$405:$E$1024,"계절재해")</f>
        <v/>
      </c>
      <c r="AF44" s="9">
        <f>COUNTIFS(과년도모음!$B$405:$B$1024,AF$2,과년도모음!$E$405:$E$1024,"계절재해")</f>
        <v/>
      </c>
      <c r="AG44" s="9">
        <f>COUNTIFS(과년도모음!$B$405:$B$1024,AG$2,과년도모음!$E$405:$E$1024,"계절재해")</f>
        <v/>
      </c>
      <c r="AH44" s="9">
        <f>COUNTIFS(과년도모음!$B$405:$B$1024,AH$2,과년도모음!$E$405:$E$1024,"계절재해")</f>
        <v/>
      </c>
      <c r="AI44" s="9">
        <f>COUNTIFS(과년도모음!$B$405:$B$1024,AI$2,과년도모음!$E$405:$E$1024,"계절재해")</f>
        <v/>
      </c>
      <c r="AJ44" s="9">
        <f>COUNTIFS(과년도모음!$B$405:$B$1024,AJ$2,과년도모음!$E$405:$E$1024,"계절재해")</f>
        <v/>
      </c>
      <c r="AK44" s="9">
        <f>COUNTIFS(과년도모음!$B$405:$B$1024,AK$2,과년도모음!$E$405:$E$1024,"계절재해")</f>
        <v/>
      </c>
      <c r="AL44" s="16" t="n"/>
    </row>
    <row r="45">
      <c r="A45" s="20">
        <f>RANK(E45,$E$28:$E$48)</f>
        <v/>
      </c>
      <c r="B45" s="111" t="inlineStr">
        <is>
          <t>교량</t>
        </is>
      </c>
      <c r="C45" s="121">
        <f>E45/$E$49</f>
        <v/>
      </c>
      <c r="D45" s="122">
        <f>E45/22</f>
        <v/>
      </c>
      <c r="E45" s="111">
        <f>SUM(F45:AK45)</f>
        <v/>
      </c>
      <c r="F45" s="9">
        <f>COUNTIFS(과년도모음!$B$1:$B$1024,F$2,과년도모음!$E$1:$E$1024,"교량")</f>
        <v/>
      </c>
      <c r="G45" s="9">
        <f>COUNTIFS(과년도모음!$B$1:$B$1024,G$2,과년도모음!$E$1:$E$1024,"교량")</f>
        <v/>
      </c>
      <c r="H45" s="9">
        <f>COUNTIFS(과년도모음!$B$1:$B$1024,H$2,과년도모음!$E$1:$E$1024,"교량")</f>
        <v/>
      </c>
      <c r="I45" s="9">
        <f>COUNTIFS(과년도모음!$B$1:$B$1024,I$2,과년도모음!$E$1:$E$1024,"교량")</f>
        <v/>
      </c>
      <c r="J45" s="9">
        <f>COUNTIFS(과년도모음!$B$1:$B$1024,J$2,과년도모음!$E$1:$E$1024,"교량")</f>
        <v/>
      </c>
      <c r="K45" s="9">
        <f>COUNTIFS(과년도모음!$B$1:$B$1024,K$2,과년도모음!$E$1:$E$1024,"교량")</f>
        <v/>
      </c>
      <c r="L45" s="9">
        <f>COUNTIFS(과년도모음!$B$1:$B$1024,L$2,과년도모음!$E$1:$E$1024,"교량")</f>
        <v/>
      </c>
      <c r="M45" s="9">
        <f>COUNTIFS(과년도모음!$B$1:$B$1024,M$2,과년도모음!$E$1:$E$1024,"교량")</f>
        <v/>
      </c>
      <c r="N45" s="9">
        <f>COUNTIFS(과년도모음!$B$281:$B$1024,N$2,과년도모음!$E$281:$E$1024,"교량")</f>
        <v/>
      </c>
      <c r="O45" s="9">
        <f>COUNTIFS(과년도모음!$B$312:$B$1024,O$2,과년도모음!$E$312:$E$1024,"교량")</f>
        <v/>
      </c>
      <c r="P45" s="9">
        <f>COUNTIFS(과년도모음!$B$343:$B$1024,P$2,과년도모음!$E$343:$E$1024,"교량")</f>
        <v/>
      </c>
      <c r="Q45" s="9">
        <f>COUNTIFS(과년도모음!$B$343:$B$1024,Q$2,과년도모음!$E$343:$E$1024,"교량")</f>
        <v/>
      </c>
      <c r="R45" s="9">
        <f>COUNTIFS(과년도모음!$B$405:$B$1024,R$2,과년도모음!$E$405:$E$1024,"교량")</f>
        <v/>
      </c>
      <c r="S45" s="9">
        <f>COUNTIFS(과년도모음!$B$405:$B$1024,S$2,과년도모음!$E$405:$E$1024,"교량")</f>
        <v/>
      </c>
      <c r="T45" s="9">
        <f>COUNTIFS(과년도모음!$B$405:$B$1024,T$2,과년도모음!$E$405:$E$1024,"교량")</f>
        <v/>
      </c>
      <c r="U45" s="9">
        <f>COUNTIFS(과년도모음!$B$405:$B$1024,U$2,과년도모음!$E$405:$E$1024,"교량")</f>
        <v/>
      </c>
      <c r="V45" s="9">
        <f>COUNTIFS(과년도모음!$B$405:$B$1024,V$2,과년도모음!$E$405:$E$1024,"교량")</f>
        <v/>
      </c>
      <c r="W45" s="9">
        <f>COUNTIFS(과년도모음!$B$405:$B$1024,W$2,과년도모음!$E$405:$E$1024,"교량")</f>
        <v/>
      </c>
      <c r="X45" s="9">
        <f>COUNTIFS(과년도모음!$B$405:$B$1024,X$2,과년도모음!$E$405:$E$1024,"교량")</f>
        <v/>
      </c>
      <c r="Y45" s="9">
        <f>COUNTIFS(과년도모음!$B$405:$B$1024,Y$2,과년도모음!$E$405:$E$1024,"교량")</f>
        <v/>
      </c>
      <c r="Z45" s="9">
        <f>COUNTIFS(과년도모음!$B$405:$B$1024,Z$2,과년도모음!$E$405:$E$1024,"교량")</f>
        <v/>
      </c>
      <c r="AA45" s="9">
        <f>COUNTIFS(과년도모음!$B$405:$B$1024,AA$2,과년도모음!$E$405:$E$1024,"교량")</f>
        <v/>
      </c>
      <c r="AB45" s="9">
        <f>COUNTIFS(과년도모음!$B$405:$B$1024,AB$2,과년도모음!$E$405:$E$1024,"교량")</f>
        <v/>
      </c>
      <c r="AC45" s="9">
        <f>COUNTIFS(과년도모음!$B$405:$B$1024,AC$2,과년도모음!$E$405:$E$1024,"교량")</f>
        <v/>
      </c>
      <c r="AD45" s="9">
        <f>COUNTIFS(과년도모음!$B$405:$B$1024,AD$2,과년도모음!$E$405:$E$1024,"교량")</f>
        <v/>
      </c>
      <c r="AE45" s="9">
        <f>COUNTIFS(과년도모음!$B$405:$B$1024,AE$2,과년도모음!$E$405:$E$1024,"교량")</f>
        <v/>
      </c>
      <c r="AF45" s="9">
        <f>COUNTIFS(과년도모음!$B$405:$B$1024,AF$2,과년도모음!$E$405:$E$1024,"교량")</f>
        <v/>
      </c>
      <c r="AG45" s="9">
        <f>COUNTIFS(과년도모음!$B$405:$B$1024,AG$2,과년도모음!$E$405:$E$1024,"교량")</f>
        <v/>
      </c>
      <c r="AH45" s="9">
        <f>COUNTIFS(과년도모음!$B$405:$B$1024,AH$2,과년도모음!$E$405:$E$1024,"교량")</f>
        <v/>
      </c>
      <c r="AI45" s="9">
        <f>COUNTIFS(과년도모음!$B$405:$B$1024,AI$2,과년도모음!$E$405:$E$1024,"교량")</f>
        <v/>
      </c>
      <c r="AJ45" s="9">
        <f>COUNTIFS(과년도모음!$B$405:$B$1024,AJ$2,과년도모음!$E$405:$E$1024,"교량")</f>
        <v/>
      </c>
      <c r="AK45" s="9">
        <f>COUNTIFS(과년도모음!$B$405:$B$1024,AK$2,과년도모음!$E$405:$E$1024,"교량")</f>
        <v/>
      </c>
      <c r="AL45" s="16" t="n"/>
    </row>
    <row r="46">
      <c r="A46" s="20">
        <f>RANK(E46,$E$28:$E$48)</f>
        <v/>
      </c>
      <c r="B46" s="111" t="inlineStr">
        <is>
          <t>시사이슈</t>
        </is>
      </c>
      <c r="C46" s="121">
        <f>E46/$E$49</f>
        <v/>
      </c>
      <c r="D46" s="122">
        <f>E46/22</f>
        <v/>
      </c>
      <c r="E46" s="111">
        <f>SUM(F46:AK46)</f>
        <v/>
      </c>
      <c r="F46" s="9">
        <f>COUNTIFS(과년도모음!$B$1:$B$1024,F$2,과년도모음!$E$1:$E$1024,"시사 이슈 문제")</f>
        <v/>
      </c>
      <c r="G46" s="9">
        <f>COUNTIFS(과년도모음!$B$1:$B$1024,G$2,과년도모음!$E$1:$E$1024,"시사 이슈 문제")</f>
        <v/>
      </c>
      <c r="H46" s="9">
        <f>COUNTIFS(과년도모음!$B$1:$B$1024,H$2,과년도모음!$E$1:$E$1024,"시사 이슈 문제")</f>
        <v/>
      </c>
      <c r="I46" s="9">
        <f>COUNTIFS(과년도모음!$B$1:$B$1024,I$2,과년도모음!$E$1:$E$1024,"시사 이슈 문제")</f>
        <v/>
      </c>
      <c r="J46" s="9">
        <f>COUNTIFS(과년도모음!$B$1:$B$1024,J$2,과년도모음!$E$1:$E$1024,"시사 이슈 문제")</f>
        <v/>
      </c>
      <c r="K46" s="9">
        <f>COUNTIFS(과년도모음!$B$1:$B$1024,K$2,과년도모음!$E$1:$E$1024,"시사 이슈 문제")</f>
        <v/>
      </c>
      <c r="L46" s="9">
        <f>COUNTIFS(과년도모음!$B$1:$B$1024,L$2,과년도모음!$E$1:$E$1024,"시사 이슈 문제")</f>
        <v/>
      </c>
      <c r="M46" s="9">
        <f>COUNTIFS(과년도모음!$B$1:$B$1024,M$2,과년도모음!$E$1:$E$1024,"시사 이슈 문제")</f>
        <v/>
      </c>
      <c r="N46" s="9">
        <f>COUNTIFS(과년도모음!$B$281:$B$1024,N$2,과년도모음!$E$281:$E$1024,"시사 이슈 문제")</f>
        <v/>
      </c>
      <c r="O46" s="9">
        <f>COUNTIFS(과년도모음!$B$312:$B$1024,O$2,과년도모음!$E$312:$E$1024,"시사 이슈 문제")</f>
        <v/>
      </c>
      <c r="P46" s="9">
        <f>COUNTIFS(과년도모음!$B$343:$B$1024,P$2,과년도모음!$E$343:$E$1024,"시사 이슈 문제")</f>
        <v/>
      </c>
      <c r="Q46" s="9">
        <f>COUNTIFS(과년도모음!$B$343:$B$1024,Q$2,과년도모음!$E$343:$E$1024,"시사 이슈 문제")</f>
        <v/>
      </c>
      <c r="R46" s="9">
        <f>COUNTIFS(과년도모음!$B$405:$B$1024,R$2,과년도모음!$E$405:$E$1024,"시사 이슈 문제")</f>
        <v/>
      </c>
      <c r="S46" s="9">
        <f>COUNTIFS(과년도모음!$B$405:$B$1024,S$2,과년도모음!$E$405:$E$1024,"시사 이슈 문제")</f>
        <v/>
      </c>
      <c r="T46" s="9">
        <f>COUNTIFS(과년도모음!$B$405:$B$1024,T$2,과년도모음!$E$405:$E$1024,"시사 이슈 문제")</f>
        <v/>
      </c>
      <c r="U46" s="9">
        <f>COUNTIFS(과년도모음!$B$405:$B$1024,U$2,과년도모음!$E$405:$E$1024,"시사 이슈 문제")</f>
        <v/>
      </c>
      <c r="V46" s="9">
        <f>COUNTIFS(과년도모음!$B$405:$B$1024,V$2,과년도모음!$E$405:$E$1024,"시사 이슈 문제")</f>
        <v/>
      </c>
      <c r="W46" s="9">
        <f>COUNTIFS(과년도모음!$B$405:$B$1024,W$2,과년도모음!$E$405:$E$1024,"시사 이슈 문제")</f>
        <v/>
      </c>
      <c r="X46" s="9">
        <f>COUNTIFS(과년도모음!$B$405:$B$1024,X$2,과년도모음!$E$405:$E$1024,"시사 이슈 문제")</f>
        <v/>
      </c>
      <c r="Y46" s="9">
        <f>COUNTIFS(과년도모음!$B$405:$B$1024,Y$2,과년도모음!$E$405:$E$1024,"시사 이슈 문제")</f>
        <v/>
      </c>
      <c r="Z46" s="9">
        <f>COUNTIFS(과년도모음!$B$405:$B$1024,Z$2,과년도모음!$E$405:$E$1024,"시사 이슈 문제")</f>
        <v/>
      </c>
      <c r="AA46" s="9">
        <f>COUNTIFS(과년도모음!$B$405:$B$1024,AA$2,과년도모음!$E$405:$E$1024,"시사 이슈 문제")</f>
        <v/>
      </c>
      <c r="AB46" s="9">
        <f>COUNTIFS(과년도모음!$B$405:$B$1024,AB$2,과년도모음!$E$405:$E$1024,"시사 이슈 문제")</f>
        <v/>
      </c>
      <c r="AC46" s="9">
        <f>COUNTIFS(과년도모음!$B$405:$B$1024,AC$2,과년도모음!$E$405:$E$1024,"시사 이슈 문제")</f>
        <v/>
      </c>
      <c r="AD46" s="9">
        <f>COUNTIFS(과년도모음!$B$405:$B$1024,AD$2,과년도모음!$E$405:$E$1024,"시사 이슈 문제")</f>
        <v/>
      </c>
      <c r="AE46" s="9">
        <f>COUNTIFS(과년도모음!$B$405:$B$1024,AE$2,과년도모음!$E$405:$E$1024,"시사 이슈 문제")</f>
        <v/>
      </c>
      <c r="AF46" s="9">
        <f>COUNTIFS(과년도모음!$B$405:$B$1024,AF$2,과년도모음!$E$405:$E$1024,"시사 이슈 문제")</f>
        <v/>
      </c>
      <c r="AG46" s="9">
        <f>COUNTIFS(과년도모음!$B$405:$B$1024,AG$2,과년도모음!$E$405:$E$1024,"시사 이슈 문제")</f>
        <v/>
      </c>
      <c r="AH46" s="9">
        <f>COUNTIFS(과년도모음!$B$405:$B$1024,AH$2,과년도모음!$E$405:$E$1024,"시사 이슈 문제")</f>
        <v/>
      </c>
      <c r="AI46" s="9">
        <f>COUNTIFS(과년도모음!$B$405:$B$1024,AI$2,과년도모음!$E$405:$E$1024,"시사 이슈 문제")</f>
        <v/>
      </c>
      <c r="AJ46" s="9">
        <f>COUNTIFS(과년도모음!$B$405:$B$1024,AJ$2,과년도모음!$E$405:$E$1024,"시사 이슈 문제")</f>
        <v/>
      </c>
      <c r="AK46" s="9">
        <f>COUNTIFS(과년도모음!$B$405:$B$1024,AK$2,과년도모음!$E$405:$E$1024,"시사 이슈 문제")</f>
        <v/>
      </c>
      <c r="AL46" s="16" t="n"/>
    </row>
    <row r="47">
      <c r="A47" s="20">
        <f>RANK(E47,$E$28:$E$48)</f>
        <v/>
      </c>
      <c r="B47" s="111" t="inlineStr">
        <is>
          <t>지특법</t>
        </is>
      </c>
      <c r="C47" s="121">
        <f>E47/$E$49</f>
        <v/>
      </c>
      <c r="D47" s="122">
        <f>E47/22</f>
        <v/>
      </c>
      <c r="E47" s="111">
        <f>SUM(F47:AK47)</f>
        <v/>
      </c>
      <c r="F47" s="9">
        <f>COUNTIFS(과년도모음!$B$1:$B$1024,F$2,과년도모음!$E$1:$E$1024,"지특법")</f>
        <v/>
      </c>
      <c r="G47" s="9">
        <f>COUNTIFS(과년도모음!$B$1:$B$1024,G$2,과년도모음!$E$1:$E$1024,"지특법")</f>
        <v/>
      </c>
      <c r="H47" s="9">
        <f>COUNTIFS(과년도모음!$B$1:$B$1024,H$2,과년도모음!$E$1:$E$1024,"지특법")</f>
        <v/>
      </c>
      <c r="I47" s="9">
        <f>COUNTIFS(과년도모음!$B$1:$B$1024,I$2,과년도모음!$E$1:$E$1024,"지특법")</f>
        <v/>
      </c>
      <c r="J47" s="9">
        <f>COUNTIFS(과년도모음!$B$1:$B$1024,J$2,과년도모음!$E$1:$E$1024,"지특법")</f>
        <v/>
      </c>
      <c r="K47" s="9">
        <f>COUNTIFS(과년도모음!$B$1:$B$1024,K$2,과년도모음!$E$1:$E$1024,"지특법")</f>
        <v/>
      </c>
      <c r="L47" s="9">
        <f>COUNTIFS(과년도모음!$B$1:$B$1024,L$2,과년도모음!$E$1:$E$1024,"지특법")</f>
        <v/>
      </c>
      <c r="M47" s="9">
        <f>COUNTIFS(과년도모음!$B$1:$B$1024,M$2,과년도모음!$E$1:$E$1024,"지특법")</f>
        <v/>
      </c>
      <c r="N47" s="9">
        <f>COUNTIFS(과년도모음!$B$281:$B$1024,N$2,과년도모음!$E$281:$E$1024,"지특법")</f>
        <v/>
      </c>
      <c r="O47" s="9">
        <f>COUNTIFS(과년도모음!$B$312:$B$1024,O$2,과년도모음!$E$312:$E$1024,"지특법")</f>
        <v/>
      </c>
      <c r="P47" s="9">
        <f>COUNTIFS(과년도모음!$B$343:$B$1024,P$2,과년도모음!$E$343:$E$1024,"지특법")</f>
        <v/>
      </c>
      <c r="Q47" s="9">
        <f>COUNTIFS(과년도모음!$B$343:$B$1024,Q$2,과년도모음!$E$343:$E$1024,"지특법")</f>
        <v/>
      </c>
      <c r="R47" s="9">
        <f>COUNTIFS(과년도모음!$B$405:$B$1024,R$2,과년도모음!$E$405:$E$1024,"지특법")</f>
        <v/>
      </c>
      <c r="S47" s="9">
        <f>COUNTIFS(과년도모음!$B$405:$B$1024,S$2,과년도모음!$E$405:$E$1024,"지특법")</f>
        <v/>
      </c>
      <c r="T47" s="9">
        <f>COUNTIFS(과년도모음!$B$405:$B$1024,T$2,과년도모음!$E$405:$E$1024,"지특법")</f>
        <v/>
      </c>
      <c r="U47" s="9">
        <f>COUNTIFS(과년도모음!$B$405:$B$1024,U$2,과년도모음!$E$405:$E$1024,"지특법")</f>
        <v/>
      </c>
      <c r="V47" s="9">
        <f>COUNTIFS(과년도모음!$B$405:$B$1024,V$2,과년도모음!$E$405:$E$1024,"지특법")</f>
        <v/>
      </c>
      <c r="W47" s="9">
        <f>COUNTIFS(과년도모음!$B$405:$B$1024,W$2,과년도모음!$E$405:$E$1024,"지특법")</f>
        <v/>
      </c>
      <c r="X47" s="9">
        <f>COUNTIFS(과년도모음!$B$405:$B$1024,X$2,과년도모음!$E$405:$E$1024,"지특법")</f>
        <v/>
      </c>
      <c r="Y47" s="9">
        <f>COUNTIFS(과년도모음!$B$405:$B$1024,Y$2,과년도모음!$E$405:$E$1024,"지특법")</f>
        <v/>
      </c>
      <c r="Z47" s="9">
        <f>COUNTIFS(과년도모음!$B$405:$B$1024,Z$2,과년도모음!$E$405:$E$1024,"지특법")</f>
        <v/>
      </c>
      <c r="AA47" s="9">
        <f>COUNTIFS(과년도모음!$B$405:$B$1024,AA$2,과년도모음!$E$405:$E$1024,"지특법")</f>
        <v/>
      </c>
      <c r="AB47" s="9">
        <f>COUNTIFS(과년도모음!$B$405:$B$1024,AB$2,과년도모음!$E$405:$E$1024,"지특법")</f>
        <v/>
      </c>
      <c r="AC47" s="9">
        <f>COUNTIFS(과년도모음!$B$405:$B$1024,AC$2,과년도모음!$E$405:$E$1024,"지특법")</f>
        <v/>
      </c>
      <c r="AD47" s="9">
        <f>COUNTIFS(과년도모음!$B$405:$B$1024,AD$2,과년도모음!$E$405:$E$1024,"지특법")</f>
        <v/>
      </c>
      <c r="AE47" s="9">
        <f>COUNTIFS(과년도모음!$B$405:$B$1024,AE$2,과년도모음!$E$405:$E$1024,"지특법")</f>
        <v/>
      </c>
      <c r="AF47" s="9">
        <f>COUNTIFS(과년도모음!$B$405:$B$1024,AF$2,과년도모음!$E$405:$E$1024,"지특법")</f>
        <v/>
      </c>
      <c r="AG47" s="9">
        <f>COUNTIFS(과년도모음!$B$405:$B$1024,AG$2,과년도모음!$E$405:$E$1024,"지특법")</f>
        <v/>
      </c>
      <c r="AH47" s="9">
        <f>COUNTIFS(과년도모음!$B$405:$B$1024,AH$2,과년도모음!$E$405:$E$1024,"지특법")</f>
        <v/>
      </c>
      <c r="AI47" s="9">
        <f>COUNTIFS(과년도모음!$B$405:$B$1024,AI$2,과년도모음!$E$405:$E$1024,"지특법")</f>
        <v/>
      </c>
      <c r="AJ47" s="9">
        <f>COUNTIFS(과년도모음!$B$405:$B$1024,AJ$2,과년도모음!$E$405:$E$1024,"지특법")</f>
        <v/>
      </c>
      <c r="AK47" s="9">
        <f>COUNTIFS(과년도모음!$B$405:$B$1024,AK$2,과년도모음!$E$405:$E$1024,"지특법")</f>
        <v/>
      </c>
      <c r="AL47" s="16" t="n"/>
    </row>
    <row r="48">
      <c r="A48" s="20">
        <f>RANK(E48,$E$28:$E$48)</f>
        <v/>
      </c>
      <c r="B48" s="111" t="inlineStr">
        <is>
          <t>중대재해처벌법</t>
        </is>
      </c>
      <c r="C48" s="121">
        <f>E48/$E$49</f>
        <v/>
      </c>
      <c r="D48" s="122">
        <f>E48/22</f>
        <v/>
      </c>
      <c r="E48" s="111">
        <f>SUM(F48:AK48)</f>
        <v/>
      </c>
      <c r="F48" s="9">
        <f>COUNTIFS(과년도모음!$B$1:$B$1024,F$2,과년도모음!$E$1:$E$1024,"중대재해처벌법")</f>
        <v/>
      </c>
      <c r="G48" s="9">
        <f>COUNTIFS(과년도모음!$B$1:$B$1024,G$2,과년도모음!$E$1:$E$1024,"중대재해처벌법")</f>
        <v/>
      </c>
      <c r="H48" s="9">
        <f>COUNTIFS(과년도모음!$B$1:$B$1024,H$2,과년도모음!$E$1:$E$1024,"중대재해처벌법")</f>
        <v/>
      </c>
      <c r="I48" s="9">
        <f>COUNTIFS(과년도모음!$B$1:$B$1024,I$2,과년도모음!$E$1:$E$1024,"중대재해처벌법")</f>
        <v/>
      </c>
      <c r="J48" s="9">
        <f>COUNTIFS(과년도모음!$B$1:$B$1024,J$2,과년도모음!$E$1:$E$1024,"중대재해처벌법")</f>
        <v/>
      </c>
      <c r="K48" s="9">
        <f>COUNTIFS(과년도모음!$B$1:$B$1024,K$2,과년도모음!$E$1:$E$1024,"중대재해처벌법")</f>
        <v/>
      </c>
      <c r="L48" s="9">
        <f>COUNTIFS(과년도모음!$B$1:$B$1024,L$2,과년도모음!$E$1:$E$1024,"중대재해처벌법")</f>
        <v/>
      </c>
      <c r="M48" s="9">
        <f>COUNTIFS(과년도모음!$B$1:$B$1024,M$2,과년도모음!$E$1:$E$1024,"중대재해처벌법")</f>
        <v/>
      </c>
      <c r="N48" s="9">
        <f>COUNTIFS(과년도모음!$B$281:$B$1024,N$2,과년도모음!$E$281:$E$1024,"중대재해처벌법")</f>
        <v/>
      </c>
      <c r="O48" s="9">
        <f>COUNTIFS(과년도모음!$B$312:$B$1024,O$2,과년도모음!$E$312:$E$1024,"중대재해처벌법")</f>
        <v/>
      </c>
      <c r="P48" s="9">
        <f>COUNTIFS(과년도모음!$B$343:$B$1024,P$2,과년도모음!$E$343:$E$1024,"중대재해처벌법")</f>
        <v/>
      </c>
      <c r="Q48" s="9">
        <f>COUNTIFS(과년도모음!$B$343:$B$1024,Q$2,과년도모음!$E$343:$E$1024,"중대재해처벌법")</f>
        <v/>
      </c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16" t="n"/>
    </row>
    <row r="49" ht="17.25" customHeight="1" s="77" thickBot="1">
      <c r="A49" s="17" t="n"/>
      <c r="B49" s="117" t="inlineStr">
        <is>
          <t>합계</t>
        </is>
      </c>
      <c r="C49" s="23" t="n"/>
      <c r="D49" s="23" t="n"/>
      <c r="E49" s="117">
        <f>SUM(E28:E48)</f>
        <v/>
      </c>
      <c r="F49" s="117">
        <f>SUM(F28:F48)</f>
        <v/>
      </c>
      <c r="G49" s="117">
        <f>SUM(G28:G48)</f>
        <v/>
      </c>
      <c r="H49" s="117">
        <f>SUM(H28:H48)</f>
        <v/>
      </c>
      <c r="I49" s="117">
        <f>SUM(I28:I48)</f>
        <v/>
      </c>
      <c r="J49" s="117">
        <f>SUM(J28:J48)</f>
        <v/>
      </c>
      <c r="K49" s="117">
        <f>SUM(K28:K48)</f>
        <v/>
      </c>
      <c r="L49" s="117">
        <f>SUM(L28:L48)</f>
        <v/>
      </c>
      <c r="M49" s="117">
        <f>SUM(M28:M48)</f>
        <v/>
      </c>
      <c r="N49" s="117">
        <f>SUM(N28:N48)</f>
        <v/>
      </c>
      <c r="O49" s="117">
        <f>SUM(O28:O48)</f>
        <v/>
      </c>
      <c r="P49" s="117">
        <f>SUM(P28:P48)</f>
        <v/>
      </c>
      <c r="Q49" s="117">
        <f>SUM(Q28:Q48)</f>
        <v/>
      </c>
      <c r="R49" s="117">
        <f>SUM(R28:R48)</f>
        <v/>
      </c>
      <c r="S49" s="117">
        <f>SUM(S28:S48)</f>
        <v/>
      </c>
      <c r="T49" s="117">
        <f>SUM(T28:T48)</f>
        <v/>
      </c>
      <c r="U49" s="117">
        <f>SUM(U28:U48)</f>
        <v/>
      </c>
      <c r="V49" s="117">
        <f>SUM(V28:V48)</f>
        <v/>
      </c>
      <c r="W49" s="117">
        <f>SUM(W28:W48)</f>
        <v/>
      </c>
      <c r="X49" s="117">
        <f>SUM(X28:X48)</f>
        <v/>
      </c>
      <c r="Y49" s="117">
        <f>SUM(Y28:Y48)</f>
        <v/>
      </c>
      <c r="Z49" s="117">
        <f>SUM(Z28:Z48)</f>
        <v/>
      </c>
      <c r="AA49" s="117">
        <f>SUM(AA28:AA48)</f>
        <v/>
      </c>
      <c r="AB49" s="117">
        <f>SUM(AB28:AB48)</f>
        <v/>
      </c>
      <c r="AC49" s="117">
        <f>SUM(AC28:AC48)</f>
        <v/>
      </c>
      <c r="AD49" s="117">
        <f>SUM(AD28:AD48)</f>
        <v/>
      </c>
      <c r="AE49" s="117">
        <f>SUM(AE28:AE48)</f>
        <v/>
      </c>
      <c r="AF49" s="117">
        <f>SUM(AF28:AF48)</f>
        <v/>
      </c>
      <c r="AG49" s="117">
        <f>SUM(AG28:AG48)</f>
        <v/>
      </c>
      <c r="AH49" s="117">
        <f>SUM(AH28:AH48)</f>
        <v/>
      </c>
      <c r="AI49" s="117">
        <f>SUM(AI28:AI48)</f>
        <v/>
      </c>
      <c r="AJ49" s="117">
        <f>SUM(AJ28:AJ48)</f>
        <v/>
      </c>
      <c r="AK49" s="117">
        <f>SUM(AK28:AK48)</f>
        <v/>
      </c>
      <c r="AL49" s="18" t="n"/>
    </row>
  </sheetData>
  <mergeCells count="23">
    <mergeCell ref="C16:E16"/>
    <mergeCell ref="C22:E22"/>
    <mergeCell ref="C9:E9"/>
    <mergeCell ref="C21:E21"/>
    <mergeCell ref="C12:E12"/>
    <mergeCell ref="C2:E2"/>
    <mergeCell ref="C11:E11"/>
    <mergeCell ref="C23:E23"/>
    <mergeCell ref="C8:E8"/>
    <mergeCell ref="C17:E17"/>
    <mergeCell ref="C7:E7"/>
    <mergeCell ref="C19:E19"/>
    <mergeCell ref="C13:E13"/>
    <mergeCell ref="C18:E18"/>
    <mergeCell ref="C3:E3"/>
    <mergeCell ref="C15:E15"/>
    <mergeCell ref="C6:E6"/>
    <mergeCell ref="C24:E24"/>
    <mergeCell ref="C14:E14"/>
    <mergeCell ref="C5:E5"/>
    <mergeCell ref="C4:E4"/>
    <mergeCell ref="C20:E20"/>
    <mergeCell ref="C10:E10"/>
  </mergeCells>
  <pageMargins left="0.7086614173228347" right="0.38" top="0.5118110236220472" bottom="0.3149606299212598" header="0.3149606299212598" footer="0.3149606299212598"/>
  <pageSetup orientation="landscape" paperSize="9" scale="65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P1393"/>
  <sheetViews>
    <sheetView showGridLines="0" showZeros="0" tabSelected="1" zoomScaleNormal="100" workbookViewId="0">
      <pane xSplit="6" ySplit="1" topLeftCell="G1014" activePane="bottomRight" state="frozen"/>
      <selection activeCell="I30" sqref="I30"/>
      <selection pane="topRight" activeCell="I30" sqref="I30"/>
      <selection pane="bottomLeft" activeCell="I30" sqref="I30"/>
      <selection pane="bottomRight" activeCell="F1018" sqref="F1018"/>
    </sheetView>
  </sheetViews>
  <sheetFormatPr baseColWidth="8" defaultRowHeight="16.5"/>
  <cols>
    <col hidden="1" width="6" customWidth="1" style="2" min="1" max="1"/>
    <col width="7.375" customWidth="1" style="3" min="2" max="4"/>
    <col width="14.375" bestFit="1" customWidth="1" style="2" min="5" max="5"/>
    <col width="23.125" customWidth="1" style="2" min="6" max="6"/>
    <col width="91.375" customWidth="1" style="4" min="7" max="7"/>
    <col width="9" customWidth="1" style="1" min="8" max="14"/>
    <col width="21.75" customWidth="1" style="1" min="15" max="15"/>
    <col width="9" customWidth="1" style="1" min="16" max="16"/>
  </cols>
  <sheetData>
    <row r="1">
      <c r="A1" s="5" t="inlineStr">
        <is>
          <t>구분</t>
        </is>
      </c>
      <c r="B1" s="21" t="inlineStr">
        <is>
          <t>회차</t>
        </is>
      </c>
      <c r="C1" s="21" t="inlineStr">
        <is>
          <t>교시</t>
        </is>
      </c>
      <c r="D1" s="21" t="inlineStr">
        <is>
          <t>번호</t>
        </is>
      </c>
      <c r="E1" s="22" t="inlineStr">
        <is>
          <t>cat1</t>
        </is>
      </c>
      <c r="F1" s="22" t="inlineStr">
        <is>
          <t>cat2</t>
        </is>
      </c>
      <c r="G1" s="21" t="inlineStr">
        <is>
          <t>문제</t>
        </is>
      </c>
    </row>
    <row r="2" customFormat="1" s="31">
      <c r="A2" s="81" t="n"/>
      <c r="B2" s="123" t="n">
        <v>138</v>
      </c>
      <c r="C2" s="124" t="n">
        <v>1</v>
      </c>
      <c r="D2" s="84" t="n">
        <v>1</v>
      </c>
      <c r="E2" s="84" t="inlineStr">
        <is>
          <t>산안법</t>
        </is>
      </c>
      <c r="F2" s="84" t="inlineStr">
        <is>
          <t>보호구</t>
        </is>
      </c>
      <c r="G2" s="85" t="inlineStr">
        <is>
          <t>1. 보호구의 정의 및 구비 조건</t>
        </is>
      </c>
      <c r="H2" s="30" t="n"/>
      <c r="I2" s="30" t="n"/>
      <c r="J2" s="30" t="n"/>
      <c r="K2" s="30" t="n"/>
      <c r="L2" s="30" t="n"/>
      <c r="M2" s="30" t="n"/>
      <c r="O2" s="30" t="n"/>
      <c r="P2" s="30" t="n"/>
    </row>
    <row r="3" customFormat="1" s="31">
      <c r="A3" s="81" t="n"/>
      <c r="B3" s="123" t="n">
        <v>138</v>
      </c>
      <c r="C3" s="124" t="n">
        <v>1</v>
      </c>
      <c r="D3" s="84" t="n">
        <v>2</v>
      </c>
      <c r="E3" s="84" t="inlineStr">
        <is>
          <t>안전관리론</t>
        </is>
      </c>
      <c r="F3" s="84" t="inlineStr">
        <is>
          <t>제임스리즌 불안전행동</t>
        </is>
      </c>
      <c r="G3" s="85" t="inlineStr">
        <is>
          <t>2. 제임스 리즌(James Reason)의 불안전 행동 유형 4가지</t>
        </is>
      </c>
      <c r="H3" s="30" t="n"/>
      <c r="I3" s="30" t="n"/>
      <c r="J3" s="30" t="n"/>
      <c r="K3" s="30" t="n"/>
      <c r="L3" s="30" t="n"/>
      <c r="M3" s="30" t="n"/>
      <c r="O3" s="30" t="n"/>
      <c r="P3" s="30" t="n"/>
    </row>
    <row r="4" customFormat="1" s="31">
      <c r="A4" s="81" t="n"/>
      <c r="B4" s="123" t="n">
        <v>138</v>
      </c>
      <c r="C4" s="124" t="n">
        <v>1</v>
      </c>
      <c r="D4" s="84" t="n">
        <v>3</v>
      </c>
      <c r="E4" s="84" t="inlineStr">
        <is>
          <t>산안법</t>
        </is>
      </c>
      <c r="F4" s="84" t="inlineStr">
        <is>
          <t>안전관리자 선임기준</t>
        </is>
      </c>
      <c r="G4" s="85" t="inlineStr">
        <is>
          <t>3. 「산업안전보건법」상 건설업에서의 공사금액별 안전관리자 선임 기준 및 업무</t>
        </is>
      </c>
      <c r="H4" s="30" t="n"/>
      <c r="I4" s="30" t="n"/>
      <c r="J4" s="30" t="n"/>
      <c r="K4" s="30" t="n"/>
      <c r="L4" s="30" t="n"/>
      <c r="M4" s="30" t="n"/>
      <c r="O4" s="30" t="n"/>
      <c r="P4" s="30" t="n"/>
    </row>
    <row r="5" customFormat="1" s="31">
      <c r="A5" s="81" t="n"/>
      <c r="B5" s="123" t="n">
        <v>138</v>
      </c>
      <c r="C5" s="124" t="n">
        <v>1</v>
      </c>
      <c r="D5" s="84" t="n">
        <v>4</v>
      </c>
      <c r="E5" s="84" t="inlineStr">
        <is>
          <t>토공</t>
        </is>
      </c>
      <c r="F5" s="84" t="inlineStr">
        <is>
          <t>표준관입시험</t>
        </is>
      </c>
      <c r="G5" s="85" t="inlineStr">
        <is>
          <t>4. 표준관입시험(SPT, Standard Penetration Test)</t>
        </is>
      </c>
      <c r="H5" s="30" t="n"/>
      <c r="I5" s="30" t="n"/>
      <c r="J5" s="30" t="n"/>
      <c r="K5" s="30" t="n"/>
      <c r="L5" s="30" t="n"/>
      <c r="M5" s="30" t="n"/>
      <c r="O5" s="30" t="n"/>
      <c r="P5" s="30" t="n"/>
    </row>
    <row r="6" customFormat="1" s="31">
      <c r="A6" s="81" t="n"/>
      <c r="B6" s="123" t="n">
        <v>138</v>
      </c>
      <c r="C6" s="124" t="n">
        <v>1</v>
      </c>
      <c r="D6" s="84" t="n">
        <v>5</v>
      </c>
      <c r="E6" s="84" t="inlineStr">
        <is>
          <t>기초</t>
        </is>
      </c>
      <c r="F6" s="84" t="inlineStr">
        <is>
          <t>잠함 굴착 준수사항</t>
        </is>
      </c>
      <c r="G6" s="85" t="inlineStr">
        <is>
          <t>5. 「산업안전보건기준에 관한 규칙」상 잠함 등 내부에서의 굴착 작업 시 준수사항</t>
        </is>
      </c>
      <c r="H6" s="30" t="n"/>
      <c r="I6" s="30" t="n"/>
      <c r="J6" s="30" t="n"/>
      <c r="K6" s="30" t="n"/>
      <c r="L6" s="30" t="n"/>
      <c r="M6" s="30" t="n"/>
      <c r="O6" s="30" t="n"/>
      <c r="P6" s="30" t="n"/>
    </row>
    <row r="7" customFormat="1" s="31">
      <c r="A7" s="81" t="n"/>
      <c r="B7" s="123" t="n">
        <v>138</v>
      </c>
      <c r="C7" s="124" t="n">
        <v>1</v>
      </c>
      <c r="D7" s="84" t="n">
        <v>6</v>
      </c>
      <c r="E7" s="84" t="inlineStr">
        <is>
          <t>건설기계</t>
        </is>
      </c>
      <c r="F7" s="84" t="inlineStr">
        <is>
          <t>와이어로프</t>
        </is>
      </c>
      <c r="G7" s="85" t="inlineStr">
        <is>
          <t>6. 와이어로프의 안전하중, 안전계수, 장력계수</t>
        </is>
      </c>
      <c r="H7" s="30" t="n"/>
      <c r="I7" s="30" t="n"/>
      <c r="J7" s="30" t="n"/>
      <c r="K7" s="30" t="n"/>
      <c r="L7" s="30" t="n"/>
      <c r="M7" s="30" t="n"/>
      <c r="O7" s="30" t="n"/>
      <c r="P7" s="30" t="n"/>
    </row>
    <row r="8" customFormat="1" s="31">
      <c r="A8" s="81" t="n"/>
      <c r="B8" s="123" t="n">
        <v>138</v>
      </c>
      <c r="C8" s="124" t="n">
        <v>1</v>
      </c>
      <c r="D8" s="84" t="n">
        <v>7</v>
      </c>
      <c r="E8" s="84" t="inlineStr">
        <is>
          <t>안전관리론</t>
        </is>
      </c>
      <c r="F8" s="84" t="inlineStr">
        <is>
          <t>TBM</t>
        </is>
      </c>
      <c r="G8" s="85" t="inlineStr">
        <is>
          <t>7. TBM(Tool Box Meeting)</t>
        </is>
      </c>
      <c r="H8" s="30" t="n"/>
      <c r="I8" s="30" t="n"/>
      <c r="J8" s="30" t="n"/>
      <c r="K8" s="30" t="n"/>
      <c r="L8" s="30" t="n"/>
      <c r="M8" s="30" t="n"/>
      <c r="O8" s="30" t="n"/>
      <c r="P8" s="30" t="n"/>
    </row>
    <row r="9" customFormat="1" s="31">
      <c r="A9" s="81" t="n"/>
      <c r="B9" s="123" t="n">
        <v>138</v>
      </c>
      <c r="C9" s="124" t="n">
        <v>1</v>
      </c>
      <c r="D9" s="84" t="n">
        <v>8</v>
      </c>
      <c r="E9" s="84" t="inlineStr">
        <is>
          <t>안전관리론</t>
        </is>
      </c>
      <c r="F9" s="84" t="inlineStr">
        <is>
          <t>ECRS 원칙</t>
        </is>
      </c>
      <c r="G9" s="85" t="inlineStr">
        <is>
          <t>8. 작업환경 개선을 위한 ECRS(Eliminate, Combine, Rearrange, Simplify) 원칙</t>
        </is>
      </c>
      <c r="H9" s="30" t="n"/>
      <c r="I9" s="30" t="n"/>
      <c r="J9" s="30" t="n"/>
      <c r="K9" s="30" t="n"/>
      <c r="L9" s="30" t="n"/>
      <c r="M9" s="30" t="n"/>
      <c r="O9" s="30" t="n"/>
      <c r="P9" s="30" t="n"/>
    </row>
    <row r="10" customFormat="1" s="31">
      <c r="A10" s="81" t="n"/>
      <c r="B10" s="123" t="n">
        <v>138</v>
      </c>
      <c r="C10" s="124" t="n">
        <v>1</v>
      </c>
      <c r="D10" s="84" t="n">
        <v>9</v>
      </c>
      <c r="E10" s="84" t="inlineStr">
        <is>
          <t>콘크리트</t>
        </is>
      </c>
      <c r="F10" s="84" t="inlineStr">
        <is>
          <t>거푸집_갱폼</t>
        </is>
      </c>
      <c r="G10" s="85" t="inlineStr">
        <is>
          <t>9. 「산업안전보건기준에 관한 규칙」상 갱폼의 조립·이동·양중·해체 작업을 하는 경우 준수사항</t>
        </is>
      </c>
      <c r="H10" s="30" t="n"/>
      <c r="I10" s="30" t="n"/>
      <c r="J10" s="30" t="n"/>
      <c r="K10" s="30" t="n"/>
      <c r="L10" s="30" t="n"/>
      <c r="M10" s="30" t="n"/>
      <c r="O10" s="30" t="n"/>
      <c r="P10" s="30" t="n"/>
    </row>
    <row r="11" customFormat="1" s="31">
      <c r="A11" s="81" t="n"/>
      <c r="B11" s="123" t="n">
        <v>138</v>
      </c>
      <c r="C11" s="124" t="n">
        <v>1</v>
      </c>
      <c r="D11" s="84" t="n">
        <v>10</v>
      </c>
      <c r="E11" s="84" t="inlineStr">
        <is>
          <t>해체공사</t>
        </is>
      </c>
      <c r="F11" s="84" t="inlineStr">
        <is>
          <t>해체작업 공해저감</t>
        </is>
      </c>
      <c r="G11" s="85" t="inlineStr">
        <is>
          <t>10. 건설공사에서 해체 작업 시 공해 저감 대책</t>
        </is>
      </c>
      <c r="H11" s="30" t="n"/>
      <c r="I11" s="30" t="n"/>
      <c r="J11" s="30" t="n"/>
      <c r="K11" s="30" t="n"/>
      <c r="L11" s="30" t="n"/>
      <c r="M11" s="30" t="n"/>
      <c r="O11" s="30" t="n"/>
      <c r="P11" s="30" t="n"/>
    </row>
    <row r="12" customFormat="1" s="31">
      <c r="A12" s="81" t="n"/>
      <c r="B12" s="123" t="n">
        <v>138</v>
      </c>
      <c r="C12" s="124" t="n">
        <v>1</v>
      </c>
      <c r="D12" s="84" t="n">
        <v>11</v>
      </c>
      <c r="E12" s="84" t="inlineStr">
        <is>
          <t>가설공사</t>
        </is>
      </c>
      <c r="F12" s="84" t="inlineStr">
        <is>
          <t>이동식비계</t>
        </is>
      </c>
      <c r="G12" s="85" t="inlineStr">
        <is>
          <t>11. 「산업안전보건기준에 관한 규칙」상 이동식 비계를 조립하여 작업하는 경우 준수사항</t>
        </is>
      </c>
      <c r="H12" s="30" t="n"/>
      <c r="I12" s="30" t="n"/>
      <c r="J12" s="30" t="n"/>
      <c r="K12" s="30" t="n"/>
      <c r="L12" s="30" t="n"/>
      <c r="M12" s="30" t="n"/>
      <c r="O12" s="30" t="n"/>
      <c r="P12" s="30" t="n"/>
    </row>
    <row r="13" customFormat="1" s="31">
      <c r="A13" s="81" t="n"/>
      <c r="B13" s="123" t="n">
        <v>138</v>
      </c>
      <c r="C13" s="124" t="n">
        <v>1</v>
      </c>
      <c r="D13" s="84" t="n">
        <v>12</v>
      </c>
      <c r="E13" s="84" t="inlineStr">
        <is>
          <t>산안법</t>
        </is>
      </c>
      <c r="F13" s="84" t="inlineStr">
        <is>
          <t>설계안전보건대장 DFS</t>
        </is>
      </c>
      <c r="G13" s="85" t="inlineStr">
        <is>
          <t>12. 설계안전보건대장과 설계안전성검토(DFS, Design for Safety)</t>
        </is>
      </c>
      <c r="H13" s="30" t="n"/>
      <c r="I13" s="30" t="n"/>
      <c r="J13" s="30" t="n"/>
      <c r="K13" s="30" t="n"/>
      <c r="L13" s="30" t="n"/>
      <c r="M13" s="30" t="n"/>
      <c r="O13" s="30" t="n"/>
      <c r="P13" s="30" t="n"/>
    </row>
    <row r="14" customFormat="1" s="31">
      <c r="A14" s="81" t="n"/>
      <c r="B14" s="123" t="n">
        <v>138</v>
      </c>
      <c r="C14" s="124" t="n">
        <v>1</v>
      </c>
      <c r="D14" s="84" t="n">
        <v>13</v>
      </c>
      <c r="E14" s="84" t="inlineStr">
        <is>
          <t>안전관리론</t>
        </is>
      </c>
      <c r="F14" s="84" t="inlineStr">
        <is>
          <t>데이비스 동기지수</t>
        </is>
      </c>
      <c r="G14" s="85" t="inlineStr">
        <is>
          <t>13. 데이비스의 동기 지수(Davis's Motivation Index)</t>
        </is>
      </c>
      <c r="H14" s="30" t="n"/>
      <c r="I14" s="30" t="n"/>
      <c r="J14" s="30" t="n"/>
      <c r="K14" s="30" t="n"/>
      <c r="L14" s="30" t="n"/>
      <c r="M14" s="30" t="n"/>
      <c r="O14" s="30" t="n"/>
      <c r="P14" s="30" t="n"/>
    </row>
    <row r="15" ht="33" customFormat="1" customHeight="1" s="31">
      <c r="A15" s="81" t="n"/>
      <c r="B15" s="123" t="n">
        <v>138</v>
      </c>
      <c r="C15" s="124" t="n">
        <v>2</v>
      </c>
      <c r="D15" s="84" t="n">
        <v>1</v>
      </c>
      <c r="E15" s="84" t="inlineStr">
        <is>
          <t>산안법</t>
        </is>
      </c>
      <c r="F15" s="84" t="inlineStr">
        <is>
          <t>유해위험방지계획서</t>
        </is>
      </c>
      <c r="G15" s="85" t="inlineStr">
        <is>
          <t>1. 「산업안전보건법 시행규칙」[별표11]에 따른 유해위험방지계획서에 대한 자체심사 및 확인업체의 기준, 자체심사 및 확인방법에 대하여 설명하시오.</t>
        </is>
      </c>
      <c r="H15" s="30" t="n"/>
      <c r="I15" s="30" t="n"/>
      <c r="J15" s="30" t="n"/>
      <c r="K15" s="30" t="n"/>
      <c r="L15" s="30" t="n"/>
      <c r="M15" s="30" t="n"/>
      <c r="O15" s="30" t="n"/>
      <c r="P15" s="30" t="n"/>
    </row>
    <row r="16" ht="33" customFormat="1" customHeight="1" s="31">
      <c r="A16" s="81" t="n"/>
      <c r="B16" s="123" t="n">
        <v>138</v>
      </c>
      <c r="C16" s="124" t="n">
        <v>2</v>
      </c>
      <c r="D16" s="84" t="n">
        <v>2</v>
      </c>
      <c r="E16" s="84" t="inlineStr">
        <is>
          <t>시사 이슈 문제</t>
        </is>
      </c>
      <c r="F16" s="84" t="inlineStr">
        <is>
          <t>외국인근로자 재해예방</t>
        </is>
      </c>
      <c r="G16" s="85" t="inlineStr">
        <is>
          <t>2. 외국인 근로자의 재해 예방을 위해 입국 전·후 단계별 안전교육, 언어 장벽 해소 방안 및 현장 안착을 위한 관리적 대책에 대하여 설명하시오.</t>
        </is>
      </c>
      <c r="H16" s="30" t="n"/>
      <c r="I16" s="30" t="n"/>
      <c r="J16" s="30" t="n"/>
      <c r="K16" s="30" t="n"/>
      <c r="L16" s="30" t="n"/>
      <c r="M16" s="30" t="n"/>
      <c r="O16" s="30" t="n"/>
      <c r="P16" s="30" t="n"/>
    </row>
    <row r="17" ht="33" customFormat="1" customHeight="1" s="31">
      <c r="A17" s="81" t="n"/>
      <c r="B17" s="123" t="n">
        <v>138</v>
      </c>
      <c r="C17" s="124" t="n">
        <v>2</v>
      </c>
      <c r="D17" s="84" t="n">
        <v>3</v>
      </c>
      <c r="E17" s="84" t="inlineStr">
        <is>
          <t>철골</t>
        </is>
      </c>
      <c r="F17" s="84" t="inlineStr">
        <is>
          <t>철골건립계획</t>
        </is>
      </c>
      <c r="G17" s="85" t="inlineStr">
        <is>
          <t>3. 철골공사를 위한 건립계획을 수립하기 위하여 현지조사, 건립기계의 선정, 건립순서 계획 시 검토하여야 할 사항에 대하여 설명하시오.</t>
        </is>
      </c>
      <c r="H17" s="30" t="n"/>
      <c r="I17" s="30" t="n"/>
      <c r="J17" s="30" t="n"/>
      <c r="K17" s="30" t="n"/>
      <c r="L17" s="30" t="n"/>
      <c r="M17" s="30" t="n"/>
      <c r="O17" s="30" t="n"/>
      <c r="P17" s="30" t="n"/>
    </row>
    <row r="18" customFormat="1" s="31">
      <c r="A18" s="81" t="n"/>
      <c r="B18" s="123" t="n">
        <v>138</v>
      </c>
      <c r="C18" s="124" t="n">
        <v>2</v>
      </c>
      <c r="D18" s="84" t="n">
        <v>4</v>
      </c>
      <c r="E18" s="84" t="inlineStr">
        <is>
          <t>안전관리론</t>
        </is>
      </c>
      <c r="F18" s="84" t="inlineStr">
        <is>
          <t>안전불감증</t>
        </is>
      </c>
      <c r="G18" s="85" t="inlineStr">
        <is>
          <t>4. 건설현장에서 안전불감증이 발생하는 원인과 대책에 대하여 설명하시오.</t>
        </is>
      </c>
      <c r="H18" s="30" t="n"/>
      <c r="I18" s="30" t="n"/>
      <c r="J18" s="30" t="n"/>
      <c r="K18" s="30" t="n"/>
      <c r="L18" s="30" t="n"/>
      <c r="M18" s="30" t="n"/>
      <c r="O18" s="30" t="n"/>
      <c r="P18" s="30" t="n"/>
    </row>
    <row r="19" ht="33" customFormat="1" customHeight="1" s="31">
      <c r="A19" s="81" t="n"/>
      <c r="B19" s="123" t="n">
        <v>138</v>
      </c>
      <c r="C19" s="124" t="n">
        <v>2</v>
      </c>
      <c r="D19" s="84" t="n">
        <v>5</v>
      </c>
      <c r="E19" s="84" t="inlineStr">
        <is>
          <t>산안법</t>
        </is>
      </c>
      <c r="F19" s="84" t="inlineStr">
        <is>
          <t>화재위험작업 화재감시자</t>
        </is>
      </c>
      <c r="G19" s="85" t="inlineStr">
        <is>
          <t>5. 「산업안전보건기준에 관한 규칙」상 화재위험작업시의 준수사항과 용접·용단 작업 장소에 배치되는 화재감시자 배치기준 및 업무에 대하여 설명하시오.</t>
        </is>
      </c>
      <c r="H19" s="30" t="n"/>
      <c r="I19" s="30" t="n"/>
      <c r="J19" s="30" t="n"/>
      <c r="K19" s="30" t="n"/>
      <c r="L19" s="30" t="n"/>
      <c r="M19" s="30" t="n"/>
      <c r="O19" s="30" t="n"/>
      <c r="P19" s="30" t="n"/>
    </row>
    <row r="20" customFormat="1" s="31">
      <c r="A20" s="81" t="n"/>
      <c r="B20" s="123" t="n">
        <v>138</v>
      </c>
      <c r="C20" s="124" t="n">
        <v>2</v>
      </c>
      <c r="D20" s="84" t="n">
        <v>6</v>
      </c>
      <c r="E20" s="84" t="inlineStr">
        <is>
          <t>안전관리론</t>
        </is>
      </c>
      <c r="F20" s="84" t="inlineStr">
        <is>
          <t>근골격계질환</t>
        </is>
      </c>
      <c r="G20" s="85" t="inlineStr">
        <is>
          <t>6. 건설현장 근로자에게 발생하는 근골격계질환의 정의와 이를 예방하기 위한 대책을 설명하시오.</t>
        </is>
      </c>
      <c r="H20" s="30" t="n"/>
      <c r="I20" s="30" t="n"/>
      <c r="J20" s="30" t="n"/>
      <c r="K20" s="30" t="n"/>
      <c r="L20" s="30" t="n"/>
      <c r="M20" s="30" t="n"/>
      <c r="O20" s="30" t="n"/>
      <c r="P20" s="30" t="n"/>
    </row>
    <row r="21" ht="33" customFormat="1" customHeight="1" s="31">
      <c r="A21" s="81" t="n"/>
      <c r="B21" s="123" t="n">
        <v>138</v>
      </c>
      <c r="C21" s="124" t="n">
        <v>3</v>
      </c>
      <c r="D21" s="84" t="n">
        <v>1</v>
      </c>
      <c r="E21" s="84" t="inlineStr">
        <is>
          <t>산안법</t>
        </is>
      </c>
      <c r="F21" s="84" t="inlineStr">
        <is>
          <t>위험성평가</t>
        </is>
      </c>
      <c r="G21" s="85" t="inlineStr">
        <is>
          <t>1. 「사업장 위험성 평가에 관한 지침」에 따른 위험성 평가 시 위험성 평가의 절차, 유해·위험요인을 파악하기 위한 방법, 위험성 감소 대책 수립 및 실행 시 반영해야 하는 사항에 대하여 설명하시오.</t>
        </is>
      </c>
      <c r="H21" s="30" t="n"/>
      <c r="I21" s="30" t="n"/>
      <c r="J21" s="30" t="n"/>
      <c r="K21" s="30" t="n"/>
      <c r="L21" s="30" t="n"/>
      <c r="M21" s="30" t="n"/>
      <c r="O21" s="30" t="n"/>
      <c r="P21" s="30" t="n"/>
    </row>
    <row r="22" ht="33" customFormat="1" customHeight="1" s="31">
      <c r="A22" s="81" t="n"/>
      <c r="B22" s="123" t="n">
        <v>138</v>
      </c>
      <c r="C22" s="124" t="n">
        <v>3</v>
      </c>
      <c r="D22" s="84" t="n">
        <v>2</v>
      </c>
      <c r="E22" s="84" t="inlineStr">
        <is>
          <t>해체공사</t>
        </is>
      </c>
      <c r="F22" s="84" t="inlineStr">
        <is>
          <t>해체작업 붕괴예방</t>
        </is>
      </c>
      <c r="G22" s="85" t="inlineStr">
        <is>
          <t>2. 건축물 등의 해체 작업 시 붕괴 예방을 위한 사전조사 및 작업계획서 내용과 안전관리 방안에 대하여 설명하시오.</t>
        </is>
      </c>
      <c r="H22" s="30" t="n"/>
      <c r="I22" s="30" t="n"/>
      <c r="J22" s="30" t="n"/>
      <c r="K22" s="30" t="n"/>
      <c r="L22" s="30" t="n"/>
      <c r="M22" s="30" t="n"/>
      <c r="O22" s="30" t="n"/>
      <c r="P22" s="30" t="n"/>
    </row>
    <row r="23" ht="33" customFormat="1" customHeight="1" s="31">
      <c r="A23" s="81" t="n"/>
      <c r="B23" s="123" t="n">
        <v>138</v>
      </c>
      <c r="C23" s="124" t="n">
        <v>3</v>
      </c>
      <c r="D23" s="84" t="n">
        <v>3</v>
      </c>
      <c r="E23" s="84" t="inlineStr">
        <is>
          <t>콘크리트</t>
        </is>
      </c>
      <c r="F23" s="84" t="inlineStr">
        <is>
          <t>거푸집동바리 구조검토</t>
        </is>
      </c>
      <c r="G23" s="85" t="inlineStr">
        <is>
          <t>3. 철근콘크리트공사에서 거푸집 동바리 설계시의 구조검토 사항 및 고려하중과 거푸집 동바리 설치 시 안전사항에 대하여 설명하시오.</t>
        </is>
      </c>
      <c r="H23" s="30" t="n"/>
      <c r="I23" s="30" t="n"/>
      <c r="J23" s="30" t="n"/>
      <c r="K23" s="30" t="n"/>
      <c r="L23" s="30" t="n"/>
      <c r="M23" s="30" t="n"/>
      <c r="O23" s="30" t="n"/>
      <c r="P23" s="30" t="n"/>
    </row>
    <row r="24" ht="33" customFormat="1" customHeight="1" s="31">
      <c r="A24" s="81" t="n"/>
      <c r="B24" s="123" t="n">
        <v>138</v>
      </c>
      <c r="C24" s="124" t="n">
        <v>3</v>
      </c>
      <c r="D24" s="84" t="n">
        <v>4</v>
      </c>
      <c r="E24" s="84" t="inlineStr">
        <is>
          <t>계절재해</t>
        </is>
      </c>
      <c r="F24" s="84" t="inlineStr">
        <is>
          <t>동절기 한랭질환</t>
        </is>
      </c>
      <c r="G24" s="85" t="inlineStr">
        <is>
          <t>4. 동절기 기간 중 건설현장의 주요 사고 유형 및 예방 대책과 한랭질환의 종류 및 예방 대책에 대하여 설명하시오.</t>
        </is>
      </c>
      <c r="H24" s="30" t="n"/>
      <c r="I24" s="30" t="n"/>
      <c r="J24" s="30" t="n"/>
      <c r="K24" s="30" t="n"/>
      <c r="L24" s="30" t="n"/>
      <c r="M24" s="30" t="n"/>
      <c r="O24" s="30" t="n"/>
      <c r="P24" s="30" t="n"/>
    </row>
    <row r="25" customFormat="1" s="31">
      <c r="A25" s="81" t="n"/>
      <c r="B25" s="123" t="n">
        <v>138</v>
      </c>
      <c r="C25" s="124" t="n">
        <v>3</v>
      </c>
      <c r="D25" s="84" t="n">
        <v>5</v>
      </c>
      <c r="E25" s="84" t="inlineStr">
        <is>
          <t>시사 이슈 문제</t>
        </is>
      </c>
      <c r="F25" s="84" t="inlineStr">
        <is>
          <t>VR AR 안전교육</t>
        </is>
      </c>
      <c r="G25" s="85" t="inlineStr">
        <is>
          <t>5. 건설현장 VR 및 AR 기반 안전교육의 장점과 한계점에 대하여 설명하시오.</t>
        </is>
      </c>
      <c r="H25" s="30" t="n"/>
      <c r="I25" s="30" t="n"/>
      <c r="J25" s="30" t="n"/>
      <c r="K25" s="30" t="n"/>
      <c r="L25" s="30" t="n"/>
      <c r="M25" s="30" t="n"/>
      <c r="O25" s="30" t="n"/>
      <c r="P25" s="30" t="n"/>
    </row>
    <row r="26" ht="33" customFormat="1" customHeight="1" s="31">
      <c r="A26" s="81" t="n"/>
      <c r="B26" s="123" t="n">
        <v>138</v>
      </c>
      <c r="C26" s="124" t="n">
        <v>3</v>
      </c>
      <c r="D26" s="84" t="n">
        <v>6</v>
      </c>
      <c r="E26" s="84" t="inlineStr">
        <is>
          <t>건설기계</t>
        </is>
      </c>
      <c r="F26" s="84" t="inlineStr">
        <is>
          <t>건설용리프트</t>
        </is>
      </c>
      <c r="G26" s="85" t="inlineStr">
        <is>
          <t>6. 건설현장에서 사용하는 건설용 리프트(Lift)의 종류 및 방호장치, 설치·해체 작업 시 안전한 작업 방법에 대하여 설명하시오.</t>
        </is>
      </c>
      <c r="H26" s="30" t="n"/>
      <c r="I26" s="30" t="n"/>
      <c r="J26" s="30" t="n"/>
      <c r="K26" s="30" t="n"/>
      <c r="L26" s="30" t="n"/>
      <c r="M26" s="30" t="n"/>
      <c r="O26" s="30" t="n"/>
      <c r="P26" s="30" t="n"/>
    </row>
    <row r="27" customFormat="1" s="31">
      <c r="A27" s="81" t="n"/>
      <c r="B27" s="123" t="n">
        <v>138</v>
      </c>
      <c r="C27" s="124" t="n">
        <v>4</v>
      </c>
      <c r="D27" s="84" t="n">
        <v>1</v>
      </c>
      <c r="E27" s="84" t="inlineStr">
        <is>
          <t>건축</t>
        </is>
      </c>
      <c r="F27" s="84" t="inlineStr">
        <is>
          <t>TOP DOWN</t>
        </is>
      </c>
      <c r="G27" s="85" t="inlineStr">
        <is>
          <t>1. 도심지 건설공사에 적용되는 탑다운(Top down) 공법의 종류와 작업 시 안전관리대책을 설명하시오.</t>
        </is>
      </c>
      <c r="H27" s="30" t="n"/>
      <c r="I27" s="30" t="n"/>
      <c r="J27" s="30" t="n"/>
      <c r="K27" s="30" t="n"/>
      <c r="L27" s="30" t="n"/>
      <c r="M27" s="30" t="n"/>
      <c r="O27" s="30" t="n"/>
      <c r="P27" s="30" t="n"/>
    </row>
    <row r="28" ht="33" customFormat="1" customHeight="1" s="31">
      <c r="A28" s="81" t="n"/>
      <c r="B28" s="123" t="n">
        <v>138</v>
      </c>
      <c r="C28" s="124" t="n">
        <v>4</v>
      </c>
      <c r="D28" s="84" t="n">
        <v>2</v>
      </c>
      <c r="E28" s="84" t="inlineStr">
        <is>
          <t>교량</t>
        </is>
      </c>
      <c r="F28" s="84" t="inlineStr">
        <is>
          <t>작업대차</t>
        </is>
      </c>
      <c r="G28" s="85" t="inlineStr">
        <is>
          <t>2. 교량공사에서 사용하는 작업대차의 조립 시 준수사항과 작업대차를 이용한 거푸집 해체작업 시 안전조치 사항에 대하여 설명하시오.</t>
        </is>
      </c>
      <c r="H28" s="30" t="n"/>
      <c r="I28" s="30" t="n"/>
      <c r="J28" s="30" t="n"/>
      <c r="K28" s="30" t="n"/>
      <c r="L28" s="30" t="n"/>
      <c r="M28" s="30" t="n"/>
      <c r="O28" s="30" t="n"/>
      <c r="P28" s="30" t="n"/>
    </row>
    <row r="29" ht="33" customFormat="1" customHeight="1" s="31">
      <c r="A29" s="81" t="n"/>
      <c r="B29" s="123" t="n">
        <v>138</v>
      </c>
      <c r="C29" s="124" t="n">
        <v>4</v>
      </c>
      <c r="D29" s="84" t="n">
        <v>3</v>
      </c>
      <c r="E29" s="84" t="inlineStr">
        <is>
          <t>안전관리론</t>
        </is>
      </c>
      <c r="F29" s="84" t="inlineStr">
        <is>
          <t>휴먼에러</t>
        </is>
      </c>
      <c r="G29" s="85" t="inlineStr">
        <is>
          <t>3. 휴먼에러(Human Error)의 개념과 유형을 설명하고, 건설현장에서 휴먼에러를 저감하기 위한 관리적, 교육적 대책을 설명하시오.</t>
        </is>
      </c>
      <c r="H29" s="30" t="n"/>
      <c r="I29" s="30" t="n"/>
      <c r="J29" s="30" t="n"/>
      <c r="K29" s="30" t="n"/>
      <c r="L29" s="30" t="n"/>
      <c r="M29" s="30" t="n"/>
      <c r="O29" s="30" t="n"/>
      <c r="P29" s="30" t="n"/>
    </row>
    <row r="30" customFormat="1" s="31">
      <c r="A30" s="81" t="n"/>
      <c r="B30" s="123" t="n">
        <v>138</v>
      </c>
      <c r="C30" s="124" t="n">
        <v>4</v>
      </c>
      <c r="D30" s="84" t="n">
        <v>4</v>
      </c>
      <c r="E30" s="84" t="inlineStr">
        <is>
          <t>가설공사</t>
        </is>
      </c>
      <c r="F30" s="84" t="inlineStr">
        <is>
          <t>임시전기설비</t>
        </is>
      </c>
      <c r="G30" s="85" t="inlineStr">
        <is>
          <t>4. 임시 수전설비 설치·운영 및 이동식 전기기계·기구 사용 시 유해·위험요인과 예방대책을 설명하시오.</t>
        </is>
      </c>
      <c r="H30" s="30" t="n"/>
      <c r="I30" s="30" t="n"/>
      <c r="J30" s="30" t="n"/>
      <c r="K30" s="30" t="n"/>
      <c r="L30" s="30" t="n"/>
      <c r="M30" s="30" t="n"/>
      <c r="O30" s="30" t="n"/>
      <c r="P30" s="30" t="n"/>
    </row>
    <row r="31" ht="33" customFormat="1" customHeight="1" s="31">
      <c r="A31" s="81" t="n"/>
      <c r="B31" s="123" t="n">
        <v>138</v>
      </c>
      <c r="C31" s="124" t="n">
        <v>4</v>
      </c>
      <c r="D31" s="84" t="n">
        <v>5</v>
      </c>
      <c r="E31" s="84" t="inlineStr">
        <is>
          <t>시사 이슈 문제</t>
        </is>
      </c>
      <c r="F31" s="84" t="inlineStr">
        <is>
          <t>노동안전종합대책</t>
        </is>
      </c>
      <c r="G31" s="85" t="inlineStr">
        <is>
          <t>5. 중대재해 감축 로드맵의 성과를 확산하고, 현장의 이행력을 높이기 위하여 정부가 2025년 9월 발표한 노동안전종합대책에 대하여 설명하시오.</t>
        </is>
      </c>
      <c r="H31" s="30" t="n"/>
      <c r="I31" s="30" t="n"/>
      <c r="J31" s="30" t="n"/>
      <c r="K31" s="30" t="n"/>
      <c r="L31" s="30" t="n"/>
      <c r="M31" s="30" t="n"/>
      <c r="O31" s="30" t="n"/>
      <c r="P31" s="30" t="n"/>
    </row>
    <row r="32" ht="33" customFormat="1" customHeight="1" s="31">
      <c r="A32" s="81" t="n"/>
      <c r="B32" s="123" t="n">
        <v>138</v>
      </c>
      <c r="C32" s="124" t="n">
        <v>4</v>
      </c>
      <c r="D32" s="84" t="n">
        <v>6</v>
      </c>
      <c r="E32" s="84" t="inlineStr">
        <is>
          <t>기타</t>
        </is>
      </c>
      <c r="F32" s="84" t="inlineStr">
        <is>
          <t>아스팔트 포장작업</t>
        </is>
      </c>
      <c r="G32" s="85" t="inlineStr">
        <is>
          <t>6. 아스팔트콘크리트 포장작업 중 사고예방을 위하여 기계운전자, 근로자, 관리감독자가 준수해야 할 사항과 유도 신호방법에 대하여 설명하시오.</t>
        </is>
      </c>
      <c r="H32" s="30" t="n"/>
      <c r="I32" s="30" t="n"/>
      <c r="J32" s="30" t="n"/>
      <c r="K32" s="30" t="n"/>
      <c r="L32" s="30" t="n"/>
      <c r="M32" s="30" t="n"/>
      <c r="O32" s="30" t="n"/>
      <c r="P32" s="30" t="n"/>
    </row>
    <row r="33" customFormat="1" s="31">
      <c r="A33" s="25" t="n"/>
      <c r="B33" s="125" t="n">
        <v>137</v>
      </c>
      <c r="C33" s="126" t="n">
        <v>1</v>
      </c>
      <c r="D33" s="26" t="n">
        <v>1</v>
      </c>
      <c r="E33" s="27" t="inlineStr">
        <is>
          <t>산안법</t>
        </is>
      </c>
      <c r="F33" s="28" t="inlineStr">
        <is>
          <t>작업안전분석</t>
        </is>
      </c>
      <c r="G33" s="73" t="inlineStr">
        <is>
          <t>﻿1. 작업안전분석(JSA, Job Safety Analysis)</t>
        </is>
      </c>
      <c r="H33" s="30" t="n"/>
      <c r="I33" s="30" t="n"/>
      <c r="J33" s="30" t="n"/>
      <c r="K33" s="30" t="n"/>
      <c r="L33" s="30" t="n"/>
      <c r="M33" s="30" t="n"/>
      <c r="O33" s="30" t="n"/>
      <c r="P33" s="30" t="n"/>
    </row>
    <row r="34" customFormat="1" s="31">
      <c r="A34" s="25" t="n"/>
      <c r="B34" s="125" t="n">
        <v>137</v>
      </c>
      <c r="C34" s="126" t="n">
        <v>1</v>
      </c>
      <c r="D34" s="26" t="n">
        <v>2</v>
      </c>
      <c r="E34" s="27" t="inlineStr">
        <is>
          <t>안전관리론</t>
        </is>
      </c>
      <c r="F34" s="28" t="inlineStr">
        <is>
          <t>착오</t>
        </is>
      </c>
      <c r="G34" s="73" t="inlineStr">
        <is>
          <t>﻿2. 착오의 종류와 원인</t>
        </is>
      </c>
      <c r="H34" s="30" t="n"/>
      <c r="I34" s="30" t="n"/>
      <c r="J34" s="30" t="n"/>
      <c r="K34" s="30" t="n"/>
      <c r="L34" s="30" t="n"/>
      <c r="M34" s="30" t="n"/>
      <c r="O34" s="30" t="n"/>
      <c r="P34" s="30" t="n"/>
    </row>
    <row r="35" customFormat="1" s="31">
      <c r="A35" s="25" t="n"/>
      <c r="B35" s="125" t="n">
        <v>137</v>
      </c>
      <c r="C35" s="126" t="n">
        <v>1</v>
      </c>
      <c r="D35" s="26" t="n">
        <v>3</v>
      </c>
      <c r="E35" s="27" t="inlineStr">
        <is>
          <t>중대재해처벌법</t>
        </is>
      </c>
      <c r="F35" s="28" t="inlineStr">
        <is>
          <t>경영책임자의 의무</t>
        </is>
      </c>
      <c r="G35" s="34" t="inlineStr">
        <is>
          <t>﻿3. 중대재해 처벌 등에 관한 법률상 경영책임자의 의무</t>
        </is>
      </c>
      <c r="H35" s="30" t="n"/>
      <c r="I35" s="30" t="n"/>
      <c r="J35" s="30" t="n"/>
      <c r="K35" s="30" t="n"/>
      <c r="L35" s="30" t="n"/>
      <c r="M35" s="30" t="n"/>
      <c r="O35" s="30" t="n"/>
      <c r="P35" s="30" t="n"/>
    </row>
    <row r="36" customFormat="1" s="31">
      <c r="A36" s="25" t="n"/>
      <c r="B36" s="125" t="n">
        <v>137</v>
      </c>
      <c r="C36" s="126" t="n">
        <v>1</v>
      </c>
      <c r="D36" s="26" t="n">
        <v>4</v>
      </c>
      <c r="E36" s="27" t="inlineStr">
        <is>
          <t>산안법</t>
        </is>
      </c>
      <c r="F36" s="28" t="inlineStr">
        <is>
          <t>밀폐공간</t>
        </is>
      </c>
      <c r="G36" s="34" t="inlineStr">
        <is>
          <t>﻿4. 산업안전보건기준에 관한 규칙상 밀폐공간 작업 계획 수립 시 포함 사항 및 작업 전 확인사항</t>
        </is>
      </c>
      <c r="H36" s="30" t="n"/>
      <c r="I36" s="30" t="n"/>
      <c r="J36" s="30" t="n"/>
      <c r="K36" s="30" t="n"/>
      <c r="L36" s="30" t="n"/>
      <c r="M36" s="30" t="n"/>
      <c r="O36" s="30" t="n"/>
      <c r="P36" s="30" t="n"/>
    </row>
    <row r="37" customFormat="1" s="31">
      <c r="A37" s="25" t="n"/>
      <c r="B37" s="125" t="n">
        <v>137</v>
      </c>
      <c r="C37" s="126" t="n">
        <v>1</v>
      </c>
      <c r="D37" s="26" t="n">
        <v>5</v>
      </c>
      <c r="E37" s="27" t="inlineStr">
        <is>
          <t>시사 이슈 문제</t>
        </is>
      </c>
      <c r="F37" s="28" t="inlineStr">
        <is>
          <t>스마트안전</t>
        </is>
      </c>
      <c r="G37" s="34" t="inlineStr">
        <is>
          <t>﻿5. 스마트 안전장비 지원사업</t>
        </is>
      </c>
      <c r="H37" s="30" t="n"/>
      <c r="I37" s="30" t="n"/>
      <c r="J37" s="30" t="n"/>
      <c r="K37" s="30" t="n"/>
      <c r="L37" s="30" t="n"/>
      <c r="M37" s="30" t="n"/>
      <c r="O37" s="30" t="n"/>
      <c r="P37" s="30" t="n"/>
    </row>
    <row r="38" customFormat="1" s="31">
      <c r="A38" s="25" t="n"/>
      <c r="B38" s="125" t="n">
        <v>137</v>
      </c>
      <c r="C38" s="126" t="n">
        <v>1</v>
      </c>
      <c r="D38" s="26" t="n">
        <v>6</v>
      </c>
      <c r="E38" s="27" t="inlineStr">
        <is>
          <t>토공</t>
        </is>
      </c>
      <c r="F38" s="28" t="inlineStr">
        <is>
          <t>안정액</t>
        </is>
      </c>
      <c r="G38" s="34" t="inlineStr">
        <is>
          <t>﻿6. 지반굴착 시 안정액(Stabilizer Liquid)</t>
        </is>
      </c>
      <c r="H38" s="30" t="n"/>
      <c r="I38" s="30" t="n"/>
      <c r="J38" s="30" t="n"/>
      <c r="K38" s="30" t="n"/>
      <c r="L38" s="30" t="n"/>
      <c r="M38" s="30" t="n"/>
      <c r="O38" s="30" t="n"/>
      <c r="P38" s="30" t="n"/>
    </row>
    <row r="39" customFormat="1" s="31">
      <c r="A39" s="25" t="n"/>
      <c r="B39" s="125" t="n">
        <v>137</v>
      </c>
      <c r="C39" s="126" t="n">
        <v>1</v>
      </c>
      <c r="D39" s="26" t="n">
        <v>7</v>
      </c>
      <c r="E39" s="27" t="inlineStr">
        <is>
          <t>기타</t>
        </is>
      </c>
      <c r="F39" s="28" t="inlineStr">
        <is>
          <t>침윤선</t>
        </is>
      </c>
      <c r="G39" s="34" t="inlineStr">
        <is>
          <t>﻿7. 침윤선의 정의 및 작도 방법</t>
        </is>
      </c>
      <c r="H39" s="30" t="n"/>
      <c r="I39" s="30" t="n"/>
      <c r="J39" s="30" t="n"/>
      <c r="K39" s="30" t="n"/>
      <c r="L39" s="30" t="n"/>
      <c r="M39" s="30" t="n"/>
      <c r="O39" s="30" t="n"/>
      <c r="P39" s="30" t="n"/>
    </row>
    <row r="40" customFormat="1" s="31">
      <c r="A40" s="25" t="n"/>
      <c r="B40" s="125" t="n">
        <v>137</v>
      </c>
      <c r="C40" s="126" t="n">
        <v>1</v>
      </c>
      <c r="D40" s="26" t="n">
        <v>8</v>
      </c>
      <c r="E40" s="27" t="inlineStr">
        <is>
          <t>토공</t>
        </is>
      </c>
      <c r="F40" s="28" t="inlineStr">
        <is>
          <t>액상화</t>
        </is>
      </c>
      <c r="G40" s="34" t="inlineStr">
        <is>
          <t>﻿8. 액상화의 정의 및 간편 예측방법</t>
        </is>
      </c>
      <c r="H40" s="30" t="n"/>
      <c r="I40" s="30" t="n"/>
      <c r="J40" s="30" t="n"/>
      <c r="K40" s="30" t="n"/>
      <c r="L40" s="30" t="n"/>
      <c r="M40" s="30" t="n"/>
      <c r="O40" s="30" t="n"/>
      <c r="P40" s="30" t="n"/>
    </row>
    <row r="41" customFormat="1" s="31">
      <c r="A41" s="25" t="n"/>
      <c r="B41" s="125" t="n">
        <v>137</v>
      </c>
      <c r="C41" s="126" t="n">
        <v>1</v>
      </c>
      <c r="D41" s="26" t="n">
        <v>9</v>
      </c>
      <c r="E41" s="27" t="inlineStr">
        <is>
          <t>토공</t>
        </is>
      </c>
      <c r="F41" s="28" t="inlineStr">
        <is>
          <t>동결지수</t>
        </is>
      </c>
      <c r="G41" s="34" t="inlineStr">
        <is>
          <t>﻿9. 수정 동결지수</t>
        </is>
      </c>
      <c r="H41" s="30" t="n"/>
      <c r="I41" s="30" t="n"/>
      <c r="J41" s="30" t="n"/>
      <c r="K41" s="30" t="n"/>
      <c r="L41" s="30" t="n"/>
      <c r="M41" s="30" t="n"/>
      <c r="O41" s="30" t="n"/>
      <c r="P41" s="30" t="n"/>
    </row>
    <row r="42" customFormat="1" s="31">
      <c r="A42" s="25" t="n"/>
      <c r="B42" s="125" t="n">
        <v>137</v>
      </c>
      <c r="C42" s="126" t="n">
        <v>1</v>
      </c>
      <c r="D42" s="26" t="n">
        <v>10</v>
      </c>
      <c r="E42" s="27" t="inlineStr">
        <is>
          <t>토공</t>
        </is>
      </c>
      <c r="F42" s="28" t="inlineStr">
        <is>
          <t>침하</t>
        </is>
      </c>
      <c r="G42" s="34" t="inlineStr">
        <is>
          <t>﻿10. 지반침하</t>
        </is>
      </c>
      <c r="H42" s="30" t="n"/>
      <c r="I42" s="30" t="n"/>
      <c r="J42" s="30" t="n"/>
      <c r="K42" s="30" t="n"/>
      <c r="L42" s="30" t="n"/>
      <c r="M42" s="30" t="n"/>
      <c r="O42" s="30" t="n"/>
      <c r="P42" s="30" t="n"/>
    </row>
    <row r="43" customFormat="1" s="31">
      <c r="A43" s="25" t="n"/>
      <c r="B43" s="125" t="n">
        <v>137</v>
      </c>
      <c r="C43" s="126" t="n">
        <v>1</v>
      </c>
      <c r="D43" s="26" t="n">
        <v>11</v>
      </c>
      <c r="E43" s="27" t="inlineStr">
        <is>
          <t>시사 이슈 문제</t>
        </is>
      </c>
      <c r="F43" s="28" t="inlineStr">
        <is>
          <t>산업안전대진단</t>
        </is>
      </c>
      <c r="G43" s="34" t="inlineStr">
        <is>
          <t>﻿11. 산업안전 대진단 자가진단표</t>
        </is>
      </c>
      <c r="H43" s="30" t="n"/>
      <c r="I43" s="30" t="n"/>
      <c r="J43" s="30" t="n"/>
      <c r="K43" s="30" t="n"/>
      <c r="L43" s="30" t="n"/>
      <c r="M43" s="30" t="n"/>
      <c r="O43" s="30" t="n"/>
      <c r="P43" s="30" t="n"/>
    </row>
    <row r="44" customFormat="1" s="31">
      <c r="A44" s="25" t="n"/>
      <c r="B44" s="125" t="n">
        <v>137</v>
      </c>
      <c r="C44" s="126" t="n">
        <v>1</v>
      </c>
      <c r="D44" s="26" t="n">
        <v>12</v>
      </c>
      <c r="E44" s="27" t="inlineStr">
        <is>
          <t>시사 이슈 문제</t>
        </is>
      </c>
      <c r="F44" s="28" t="inlineStr">
        <is>
          <t>클린사업장</t>
        </is>
      </c>
      <c r="G44" s="34" t="inlineStr">
        <is>
          <t>﻿12. 클린사업장 조성지원사업(건설현장)</t>
        </is>
      </c>
      <c r="H44" s="30" t="n"/>
      <c r="I44" s="30" t="n"/>
      <c r="J44" s="30" t="n"/>
      <c r="K44" s="30" t="n"/>
      <c r="L44" s="30" t="n"/>
      <c r="M44" s="30" t="n"/>
      <c r="O44" s="30" t="n"/>
      <c r="P44" s="30" t="n"/>
    </row>
    <row r="45" ht="33" customFormat="1" customHeight="1" s="31">
      <c r="A45" s="25" t="n"/>
      <c r="B45" s="125" t="n">
        <v>137</v>
      </c>
      <c r="C45" s="126" t="n">
        <v>1</v>
      </c>
      <c r="D45" s="26" t="n">
        <v>13</v>
      </c>
      <c r="E45" s="27" t="inlineStr">
        <is>
          <t>콘크리트</t>
        </is>
      </c>
      <c r="F45" s="28" t="inlineStr">
        <is>
          <t>작업발판일체형거푸집</t>
        </is>
      </c>
      <c r="G45" s="73" t="inlineStr">
        <is>
          <t>﻿13. 산업안전보건기준에 관한 규칙상 작업발판 일체형 거푸집 중 갱폼의 조립, 이동, 양중, 해체 시 안전조치사항</t>
        </is>
      </c>
      <c r="H45" s="30" t="n"/>
      <c r="I45" s="30" t="n"/>
      <c r="J45" s="30" t="n"/>
      <c r="K45" s="30" t="n"/>
      <c r="L45" s="30" t="n"/>
      <c r="M45" s="30" t="n"/>
      <c r="O45" s="30" t="n"/>
      <c r="P45" s="30" t="n"/>
    </row>
    <row r="46" customFormat="1" s="31">
      <c r="A46" s="25" t="n"/>
      <c r="B46" s="125" t="n">
        <v>137</v>
      </c>
      <c r="C46" s="126" t="n">
        <v>2</v>
      </c>
      <c r="D46" s="26" t="n">
        <v>1</v>
      </c>
      <c r="E46" s="27" t="inlineStr">
        <is>
          <t>기초</t>
        </is>
      </c>
      <c r="F46" s="28" t="inlineStr">
        <is>
          <t>부마찰력</t>
        </is>
      </c>
      <c r="G46" s="34" t="inlineStr">
        <is>
          <t>﻿1. 지반에서 발생하는 부마찰력의 발생원인 및 방지대책에 대하여 설명하시오</t>
        </is>
      </c>
      <c r="H46" s="30" t="n"/>
      <c r="I46" s="30" t="n"/>
      <c r="J46" s="30" t="n"/>
      <c r="K46" s="30" t="n"/>
      <c r="L46" s="30" t="n"/>
      <c r="M46" s="30" t="n"/>
      <c r="O46" s="30" t="n"/>
      <c r="P46" s="30" t="n"/>
    </row>
    <row r="47" customFormat="1" s="31">
      <c r="A47" s="25" t="n"/>
      <c r="B47" s="125" t="n">
        <v>137</v>
      </c>
      <c r="C47" s="126" t="n">
        <v>2</v>
      </c>
      <c r="D47" s="26" t="n">
        <v>2</v>
      </c>
      <c r="E47" s="27" t="inlineStr">
        <is>
          <t>건진법</t>
        </is>
      </c>
      <c r="F47" s="28" t="inlineStr">
        <is>
          <t>공사기간</t>
        </is>
      </c>
      <c r="G47" s="34" t="inlineStr">
        <is>
          <t>﻿2. 건설기술진흥법상 공사기간의 산정기준, 산정방법, 산정 시 주의사항에 대하여 설명하시오</t>
        </is>
      </c>
      <c r="H47" s="30" t="n"/>
      <c r="I47" s="30" t="n"/>
      <c r="J47" s="30" t="n"/>
      <c r="K47" s="30" t="n"/>
      <c r="L47" s="30" t="n"/>
      <c r="M47" s="30" t="n"/>
      <c r="O47" s="30" t="n"/>
      <c r="P47" s="30" t="n"/>
    </row>
    <row r="48" customFormat="1" s="31">
      <c r="A48" s="25" t="n"/>
      <c r="B48" s="125" t="n">
        <v>137</v>
      </c>
      <c r="C48" s="126" t="n">
        <v>2</v>
      </c>
      <c r="D48" s="26" t="n">
        <v>3</v>
      </c>
      <c r="E48" s="27" t="inlineStr">
        <is>
          <t>토공</t>
        </is>
      </c>
      <c r="F48" s="28" t="inlineStr">
        <is>
          <t>Qucik sand / Quick clay</t>
        </is>
      </c>
      <c r="G48" s="34" t="inlineStr">
        <is>
          <t>﻿3. Qucik sand와 Quick clay 에 대하여 설명하시오</t>
        </is>
      </c>
      <c r="H48" s="30" t="n"/>
      <c r="I48" s="30" t="n"/>
      <c r="J48" s="30" t="n"/>
      <c r="K48" s="30" t="n"/>
      <c r="L48" s="30" t="n"/>
      <c r="M48" s="30" t="n"/>
      <c r="O48" s="30" t="n"/>
      <c r="P48" s="30" t="n"/>
    </row>
    <row r="49" customFormat="1" s="31">
      <c r="A49" s="25" t="n"/>
      <c r="B49" s="125" t="n">
        <v>137</v>
      </c>
      <c r="C49" s="126" t="n">
        <v>2</v>
      </c>
      <c r="D49" s="26" t="n">
        <v>4</v>
      </c>
      <c r="E49" s="27" t="inlineStr">
        <is>
          <t>안전관리론</t>
        </is>
      </c>
      <c r="F49" s="28" t="inlineStr">
        <is>
          <t>재해조사 및 통계</t>
        </is>
      </c>
      <c r="G49" s="34" t="inlineStr">
        <is>
          <t>﻿4. 재해 발생 시 긴급처리 순서와 재해조사의 목적, 유의사항에 대하여 설명하시오</t>
        </is>
      </c>
      <c r="H49" s="30" t="n"/>
      <c r="I49" s="30" t="n"/>
      <c r="J49" s="30" t="n"/>
      <c r="K49" s="30" t="n"/>
      <c r="L49" s="30" t="n"/>
      <c r="M49" s="30" t="n"/>
      <c r="O49" s="30" t="n"/>
      <c r="P49" s="30" t="n"/>
    </row>
    <row r="50" ht="33" customFormat="1" customHeight="1" s="31">
      <c r="A50" s="25" t="n"/>
      <c r="B50" s="125" t="n">
        <v>137</v>
      </c>
      <c r="C50" s="126" t="n">
        <v>2</v>
      </c>
      <c r="D50" s="26" t="n">
        <v>5</v>
      </c>
      <c r="E50" s="27" t="inlineStr">
        <is>
          <t>산안법</t>
        </is>
      </c>
      <c r="F50" s="28" t="inlineStr">
        <is>
          <t>추락</t>
        </is>
      </c>
      <c r="G50" s="34" t="inlineStr">
        <is>
          <t>﻿5. 산업안전보건기준에 관한 규칙상 건설공사 현장에서 근로자가 추락하거나 넘어질 위험이 있는 장소 등에서 작업할 때, 근로자의 안전 확보를 위해 준수해야 하는 안전기준에 대하여 설명하시오</t>
        </is>
      </c>
      <c r="H50" s="30" t="n"/>
      <c r="I50" s="30" t="n"/>
      <c r="J50" s="30" t="n"/>
      <c r="K50" s="30" t="n"/>
      <c r="L50" s="30" t="n"/>
      <c r="M50" s="30" t="n"/>
      <c r="O50" s="30" t="n"/>
      <c r="P50" s="30" t="n"/>
    </row>
    <row r="51" ht="33" customFormat="1" customHeight="1" s="31">
      <c r="A51" s="25" t="n"/>
      <c r="B51" s="125" t="n">
        <v>137</v>
      </c>
      <c r="C51" s="126" t="n">
        <v>2</v>
      </c>
      <c r="D51" s="26" t="n">
        <v>6</v>
      </c>
      <c r="E51" s="27" t="inlineStr">
        <is>
          <t>건설기계</t>
        </is>
      </c>
      <c r="F51" s="28" t="inlineStr">
        <is>
          <t>고소작업대</t>
        </is>
      </c>
      <c r="G51" s="34" t="inlineStr">
        <is>
          <t>﻿6. 고소작업대의 종류를 쓰고, 이동, 사용 시 준수사항 및 안전인증을 받아야 하는 고소작업대 과상승방지장치의 안전기준에 대하여 설명하시오</t>
        </is>
      </c>
      <c r="H51" s="30" t="n"/>
      <c r="I51" s="30" t="n"/>
      <c r="J51" s="30" t="n"/>
      <c r="K51" s="30" t="n"/>
      <c r="L51" s="30" t="n"/>
      <c r="M51" s="30" t="n"/>
      <c r="O51" s="30" t="n"/>
      <c r="P51" s="30" t="n"/>
    </row>
    <row r="52" ht="33" customFormat="1" customHeight="1" s="31">
      <c r="A52" s="25" t="n"/>
      <c r="B52" s="125" t="n">
        <v>137</v>
      </c>
      <c r="C52" s="126" t="n">
        <v>3</v>
      </c>
      <c r="D52" s="26" t="n">
        <v>1</v>
      </c>
      <c r="E52" s="27" t="inlineStr">
        <is>
          <t>계절재해</t>
        </is>
      </c>
      <c r="F52" s="28" t="inlineStr">
        <is>
          <t>폭염</t>
        </is>
      </c>
      <c r="G52" s="34" t="inlineStr">
        <is>
          <t>﻿1. 건설현장에서 폭염에 따른 온열질환의 종류와 초기 증상, 온열질환자 발생시 응급조치 및 예방조치에 대하여 설명하시오</t>
        </is>
      </c>
      <c r="H52" s="30" t="n"/>
      <c r="I52" s="30" t="n"/>
      <c r="J52" s="30" t="n"/>
      <c r="K52" s="30" t="n"/>
      <c r="L52" s="30" t="n"/>
      <c r="M52" s="30" t="n"/>
      <c r="O52" s="30" t="n"/>
      <c r="P52" s="30" t="n"/>
    </row>
    <row r="53" customFormat="1" s="31">
      <c r="A53" s="25" t="n"/>
      <c r="B53" s="125" t="n">
        <v>137</v>
      </c>
      <c r="C53" s="126" t="n">
        <v>3</v>
      </c>
      <c r="D53" s="26" t="n">
        <v>2</v>
      </c>
      <c r="E53" s="27" t="inlineStr">
        <is>
          <t>토공</t>
        </is>
      </c>
      <c r="F53" s="28" t="inlineStr">
        <is>
          <t>비개착</t>
        </is>
      </c>
      <c r="G53" s="34" t="inlineStr">
        <is>
          <t>﻿2. 운영 중인 도로 및 철도 하부 비개착 공법 시공 시 안전대책에 대하여 설명하시오</t>
        </is>
      </c>
      <c r="H53" s="30" t="n"/>
      <c r="I53" s="30" t="n"/>
      <c r="J53" s="30" t="n"/>
      <c r="K53" s="30" t="n"/>
      <c r="L53" s="30" t="n"/>
      <c r="M53" s="30" t="n"/>
      <c r="O53" s="30" t="n"/>
      <c r="P53" s="30" t="n"/>
    </row>
    <row r="54" customFormat="1" s="31">
      <c r="A54" s="25" t="n"/>
      <c r="B54" s="125" t="n">
        <v>137</v>
      </c>
      <c r="C54" s="126" t="n">
        <v>3</v>
      </c>
      <c r="D54" s="26" t="n">
        <v>3</v>
      </c>
      <c r="E54" s="27" t="inlineStr">
        <is>
          <t>안전관리론</t>
        </is>
      </c>
      <c r="F54" s="28" t="inlineStr">
        <is>
          <t>무사고자 사고자</t>
        </is>
      </c>
      <c r="G54" s="34" t="inlineStr">
        <is>
          <t>﻿3. 건설현장에서 무사고자와 사고자의 특성에 대하여 설명하고, 사고자 관리대책에 대하여 설명하시오</t>
        </is>
      </c>
      <c r="H54" s="30" t="n"/>
      <c r="I54" s="30" t="n"/>
      <c r="J54" s="30" t="n"/>
      <c r="K54" s="30" t="n"/>
      <c r="L54" s="30" t="n"/>
      <c r="M54" s="30" t="n"/>
      <c r="O54" s="30" t="n"/>
      <c r="P54" s="30" t="n"/>
    </row>
    <row r="55" ht="33" customFormat="1" customHeight="1" s="31">
      <c r="A55" s="25" t="n"/>
      <c r="B55" s="125" t="n">
        <v>137</v>
      </c>
      <c r="C55" s="126" t="n">
        <v>3</v>
      </c>
      <c r="D55" s="26" t="n">
        <v>4</v>
      </c>
      <c r="E55" s="27" t="inlineStr">
        <is>
          <t>콘크리트</t>
        </is>
      </c>
      <c r="F55" s="28" t="inlineStr">
        <is>
          <t>열화 균열</t>
        </is>
      </c>
      <c r="G55" s="34" t="inlineStr">
        <is>
          <t>﻿4. 철근콘크리트 건축물의 사용기간 경과에 따른 열화발생의 유형 중 균열발생 방지를 위한 대책과 균열발생 시 보수 필요 여부를 결정하는 균열폭의 기준 및 보수, 보강공법에 대하여 설명하시오</t>
        </is>
      </c>
      <c r="H55" s="30" t="n"/>
      <c r="I55" s="30" t="n"/>
      <c r="J55" s="30" t="n"/>
      <c r="K55" s="30" t="n"/>
      <c r="L55" s="30" t="n"/>
      <c r="M55" s="30" t="n"/>
      <c r="O55" s="30" t="n"/>
      <c r="P55" s="30" t="n"/>
    </row>
    <row r="56" ht="33" customFormat="1" customHeight="1" s="31">
      <c r="A56" s="25" t="n"/>
      <c r="B56" s="125" t="n">
        <v>137</v>
      </c>
      <c r="C56" s="126" t="n">
        <v>3</v>
      </c>
      <c r="D56" s="26" t="n">
        <v>5</v>
      </c>
      <c r="E56" s="27" t="inlineStr">
        <is>
          <t>건설기계</t>
        </is>
      </c>
      <c r="F56" s="28" t="inlineStr">
        <is>
          <t>지게차</t>
        </is>
      </c>
      <c r="G56" s="34" t="inlineStr">
        <is>
          <t>﻿5. 건설현장에서 사용되는 건설기계 중 지게차의 방호장치 및 헤드가드 설치 기준, 전경각과 후경각의 허용각도를 설명하고, 지게차 작업의 위험성과 원인, 대해방지 대책을 설명하시오</t>
        </is>
      </c>
      <c r="H56" s="30" t="n"/>
      <c r="I56" s="30" t="n"/>
      <c r="J56" s="30" t="n"/>
      <c r="K56" s="30" t="n"/>
      <c r="L56" s="30" t="n"/>
      <c r="M56" s="30" t="n"/>
      <c r="O56" s="30" t="n"/>
      <c r="P56" s="30" t="n"/>
    </row>
    <row r="57" customFormat="1" s="31">
      <c r="A57" s="25" t="n"/>
      <c r="B57" s="125" t="n">
        <v>137</v>
      </c>
      <c r="C57" s="126" t="n">
        <v>3</v>
      </c>
      <c r="D57" s="26" t="n">
        <v>6</v>
      </c>
      <c r="E57" s="27" t="inlineStr">
        <is>
          <t>안전관리론</t>
        </is>
      </c>
      <c r="F57" s="28" t="inlineStr">
        <is>
          <t>위험분석 위험관리</t>
        </is>
      </c>
      <c r="G57" s="34" t="inlineStr">
        <is>
          <t>﻿6. 위험 분석(Risk Analysis) 및 위험관리(Risk Management)에 대하여 설명하시오</t>
        </is>
      </c>
      <c r="H57" s="30" t="n"/>
      <c r="I57" s="30" t="n"/>
      <c r="J57" s="30" t="n"/>
      <c r="K57" s="30" t="n"/>
      <c r="L57" s="30" t="n"/>
      <c r="M57" s="30" t="n"/>
      <c r="O57" s="30" t="n"/>
      <c r="P57" s="30" t="n"/>
    </row>
    <row r="58" customFormat="1" s="31">
      <c r="A58" s="25" t="n"/>
      <c r="B58" s="125" t="n">
        <v>137</v>
      </c>
      <c r="C58" s="126" t="n">
        <v>4</v>
      </c>
      <c r="D58" s="26" t="n">
        <v>1</v>
      </c>
      <c r="E58" s="27" t="inlineStr">
        <is>
          <t>계절재해</t>
        </is>
      </c>
      <c r="F58" s="28" t="inlineStr">
        <is>
          <t>장마 호우</t>
        </is>
      </c>
      <c r="G58" s="34" t="inlineStr">
        <is>
          <t>﻿1. 건설현장에서 집중호우, 폭우 등 장마철 위험요인, 주요 사고유형 및 예방대책에 대하여 설명하시오</t>
        </is>
      </c>
      <c r="H58" s="30" t="n"/>
      <c r="I58" s="30" t="n"/>
      <c r="J58" s="30" t="n"/>
      <c r="K58" s="30" t="n"/>
      <c r="L58" s="30" t="n"/>
      <c r="M58" s="30" t="n"/>
      <c r="O58" s="30" t="n"/>
      <c r="P58" s="30" t="n"/>
    </row>
    <row r="59" customFormat="1" s="31">
      <c r="A59" s="25" t="n"/>
      <c r="B59" s="125" t="n">
        <v>137</v>
      </c>
      <c r="C59" s="126" t="n">
        <v>4</v>
      </c>
      <c r="D59" s="26" t="n">
        <v>2</v>
      </c>
      <c r="E59" s="27" t="inlineStr">
        <is>
          <t>가설공사</t>
        </is>
      </c>
      <c r="F59" s="28" t="inlineStr">
        <is>
          <t>안전대</t>
        </is>
      </c>
      <c r="G59" s="34" t="inlineStr">
        <is>
          <t>﻿2. 안전대 부착설비 중 구명줄의 종류와 역할에 대하여 설명하시오</t>
        </is>
      </c>
      <c r="H59" s="30" t="n"/>
      <c r="I59" s="30" t="n"/>
      <c r="J59" s="30" t="n"/>
      <c r="K59" s="30" t="n"/>
      <c r="L59" s="30" t="n"/>
      <c r="M59" s="30" t="n"/>
      <c r="O59" s="30" t="n"/>
      <c r="P59" s="30" t="n"/>
    </row>
    <row r="60" customFormat="1" s="31">
      <c r="A60" s="25" t="n"/>
      <c r="B60" s="125" t="n">
        <v>137</v>
      </c>
      <c r="C60" s="126" t="n">
        <v>4</v>
      </c>
      <c r="D60" s="26" t="n">
        <v>3</v>
      </c>
      <c r="E60" s="27" t="inlineStr">
        <is>
          <t>가설공사</t>
        </is>
      </c>
      <c r="F60" s="28" t="inlineStr">
        <is>
          <t>비계</t>
        </is>
      </c>
      <c r="G60" s="34" t="inlineStr">
        <is>
          <t>﻿3. 건설현장 가설비계의 종류와 구조, 조립 및 해체 시 유의사항에 대하여 설명하시오</t>
        </is>
      </c>
      <c r="H60" s="30" t="n"/>
      <c r="I60" s="30" t="n"/>
      <c r="J60" s="30" t="n"/>
      <c r="K60" s="30" t="n"/>
      <c r="L60" s="30" t="n"/>
      <c r="M60" s="30" t="n"/>
      <c r="O60" s="30" t="n"/>
      <c r="P60" s="30" t="n"/>
    </row>
    <row r="61" ht="33" customFormat="1" customHeight="1" s="31">
      <c r="A61" s="25" t="n"/>
      <c r="B61" s="125" t="n">
        <v>137</v>
      </c>
      <c r="C61" s="126" t="n">
        <v>4</v>
      </c>
      <c r="D61" s="26" t="n">
        <v>4</v>
      </c>
      <c r="E61" s="27" t="inlineStr">
        <is>
          <t>토공</t>
        </is>
      </c>
      <c r="F61" s="28" t="inlineStr">
        <is>
          <t>싱크홀</t>
        </is>
      </c>
      <c r="G61" s="34" t="inlineStr">
        <is>
          <t>4. 최근 도로 파손에 따른 인적, 물적 손해가 사회적으로 큰 문제가 되고 있다. 포트홀, 싱크홀, 동공의 차이점을 설명하고, 싱크홀의 발행 원인과 대책에 대하여 설명하시오</t>
        </is>
      </c>
      <c r="H61" s="30" t="n"/>
      <c r="I61" s="30" t="n"/>
      <c r="J61" s="30" t="n"/>
      <c r="K61" s="30" t="n"/>
      <c r="L61" s="30" t="n"/>
      <c r="M61" s="30" t="n"/>
      <c r="O61" s="30" t="n"/>
      <c r="P61" s="30" t="n"/>
    </row>
    <row r="62" ht="33" customFormat="1" customHeight="1" s="31">
      <c r="A62" s="25" t="n"/>
      <c r="B62" s="125" t="n">
        <v>137</v>
      </c>
      <c r="C62" s="126" t="n">
        <v>4</v>
      </c>
      <c r="D62" s="26" t="n">
        <v>5</v>
      </c>
      <c r="E62" s="27" t="inlineStr">
        <is>
          <t>건설기계</t>
        </is>
      </c>
      <c r="F62" s="28" t="inlineStr">
        <is>
          <t>토공사 건설기계</t>
        </is>
      </c>
      <c r="G62" s="34" t="inlineStr">
        <is>
          <t>﻿5. 건설기계 시공 효율 및 선정, 조합의 원칙을 설명하고, 토공사 작업 종류별 건설기계 선정 시 유의사항에 대하여 설명하시오</t>
        </is>
      </c>
      <c r="H62" s="30" t="n"/>
      <c r="I62" s="30" t="n"/>
      <c r="J62" s="30" t="n"/>
      <c r="K62" s="30" t="n"/>
      <c r="L62" s="30" t="n"/>
      <c r="M62" s="30" t="n"/>
      <c r="O62" s="30" t="n"/>
      <c r="P62" s="30" t="n"/>
    </row>
    <row r="63" ht="33" customFormat="1" customHeight="1" s="31">
      <c r="A63" s="25" t="n"/>
      <c r="B63" s="125" t="n">
        <v>137</v>
      </c>
      <c r="C63" s="126" t="n">
        <v>4</v>
      </c>
      <c r="D63" s="26" t="n">
        <v>6</v>
      </c>
      <c r="E63" s="27" t="inlineStr">
        <is>
          <t>건축</t>
        </is>
      </c>
      <c r="F63" s="28" t="inlineStr">
        <is>
          <t>TOP DOWN</t>
        </is>
      </c>
      <c r="G63" s="34" t="inlineStr">
        <is>
          <t>﻿6. 도심지 지하7층, 지상29층의 오피스텔을 탑다운 공법으로 공사를 시행하려고 한다 공사단계별 중점 안전관리방안에 대하여 설명하시오</t>
        </is>
      </c>
      <c r="H63" s="30" t="n"/>
      <c r="I63" s="30" t="n"/>
      <c r="J63" s="30" t="n"/>
      <c r="K63" s="30" t="n"/>
      <c r="L63" s="30" t="n"/>
      <c r="M63" s="30" t="n"/>
      <c r="O63" s="30" t="n"/>
      <c r="P63" s="30" t="n"/>
    </row>
    <row r="64" customFormat="1" s="31">
      <c r="A64" s="25" t="n"/>
      <c r="B64" s="127" t="n">
        <v>136</v>
      </c>
      <c r="C64" s="128" t="n">
        <v>1</v>
      </c>
      <c r="D64" s="40" t="n">
        <v>1</v>
      </c>
      <c r="E64" s="41" t="inlineStr">
        <is>
          <t>기초</t>
        </is>
      </c>
      <c r="F64" s="42" t="inlineStr">
        <is>
          <t>흙막이 계측</t>
        </is>
      </c>
      <c r="G64" s="46" t="inlineStr">
        <is>
          <t>1. 지하 흙막이 가시설 지반침하 예측방법</t>
        </is>
      </c>
      <c r="H64" s="30" t="n"/>
      <c r="I64" s="30" t="n"/>
      <c r="J64" s="30" t="n"/>
      <c r="K64" s="30" t="n"/>
      <c r="L64" s="30" t="n"/>
      <c r="M64" s="30" t="n"/>
      <c r="O64" s="30" t="n"/>
      <c r="P64" s="30" t="n"/>
    </row>
    <row r="65" customFormat="1" s="31">
      <c r="A65" s="25" t="n"/>
      <c r="B65" s="127" t="n">
        <v>136</v>
      </c>
      <c r="C65" s="128" t="n">
        <v>1</v>
      </c>
      <c r="D65" s="40" t="n">
        <v>2</v>
      </c>
      <c r="E65" s="41" t="inlineStr">
        <is>
          <t>토공</t>
        </is>
      </c>
      <c r="F65" s="42" t="inlineStr">
        <is>
          <t>사면안정</t>
        </is>
      </c>
      <c r="G65" s="46" t="inlineStr">
        <is>
          <t>2. 산사태 위험지도(Landslide Hazard Map)</t>
        </is>
      </c>
      <c r="H65" s="30" t="n"/>
      <c r="I65" s="30" t="n"/>
      <c r="J65" s="30" t="n"/>
      <c r="K65" s="30" t="n"/>
      <c r="L65" s="30" t="n"/>
      <c r="M65" s="30" t="n"/>
      <c r="O65" s="30" t="n"/>
      <c r="P65" s="30" t="n"/>
    </row>
    <row r="66" customFormat="1" s="31">
      <c r="A66" s="25" t="n"/>
      <c r="B66" s="127" t="n">
        <v>136</v>
      </c>
      <c r="C66" s="128" t="n">
        <v>1</v>
      </c>
      <c r="D66" s="40" t="n">
        <v>3</v>
      </c>
      <c r="E66" s="41" t="inlineStr">
        <is>
          <t>가설공사</t>
        </is>
      </c>
      <c r="F66" s="42" t="inlineStr">
        <is>
          <t>시스템동바리</t>
        </is>
      </c>
      <c r="G66" s="46" t="inlineStr">
        <is>
          <t>3. 시스템 동바리 및 보 형식의 동바리 조립 시 안전조치</t>
        </is>
      </c>
      <c r="H66" s="30" t="n"/>
      <c r="I66" s="30" t="n"/>
      <c r="J66" s="30" t="n"/>
      <c r="K66" s="30" t="n"/>
      <c r="L66" s="30" t="n"/>
      <c r="M66" s="30" t="n"/>
      <c r="O66" s="30" t="n"/>
      <c r="P66" s="30" t="n"/>
    </row>
    <row r="67" customFormat="1" s="31">
      <c r="A67" s="64" t="n"/>
      <c r="B67" s="127" t="n">
        <v>136</v>
      </c>
      <c r="C67" s="128" t="n">
        <v>1</v>
      </c>
      <c r="D67" s="40" t="n">
        <v>4</v>
      </c>
      <c r="E67" s="41" t="inlineStr">
        <is>
          <t>산안법</t>
        </is>
      </c>
      <c r="F67" s="42" t="inlineStr">
        <is>
          <t>안전성 평가</t>
        </is>
      </c>
      <c r="G67" s="46" t="inlineStr">
        <is>
          <t>4. 구축물 등의 주요구조부 종류와 안전성 평가 방법</t>
        </is>
      </c>
      <c r="H67" s="30" t="n"/>
      <c r="I67" s="30" t="n"/>
      <c r="J67" s="30" t="n"/>
      <c r="K67" s="30" t="n"/>
      <c r="L67" s="30" t="n"/>
      <c r="M67" s="30" t="n"/>
      <c r="O67" s="30" t="n"/>
      <c r="P67" s="30" t="n"/>
    </row>
    <row r="68" customFormat="1" s="31">
      <c r="A68" s="25" t="n"/>
      <c r="B68" s="127" t="n">
        <v>136</v>
      </c>
      <c r="C68" s="128" t="n">
        <v>1</v>
      </c>
      <c r="D68" s="40" t="n">
        <v>5</v>
      </c>
      <c r="E68" s="41" t="inlineStr">
        <is>
          <t>건설기계</t>
        </is>
      </c>
      <c r="F68" s="42" t="inlineStr">
        <is>
          <t>안전검사</t>
        </is>
      </c>
      <c r="G68" s="46" t="inlineStr">
        <is>
          <t>5. 양중기의 안전검사 기준</t>
        </is>
      </c>
      <c r="H68" s="30" t="n"/>
      <c r="I68" s="30" t="n"/>
      <c r="J68" s="30" t="n"/>
      <c r="K68" s="30" t="n"/>
      <c r="L68" s="30" t="n"/>
      <c r="M68" s="30" t="n"/>
      <c r="O68" s="30" t="n"/>
      <c r="P68" s="30" t="n"/>
    </row>
    <row r="69" customFormat="1" s="31">
      <c r="A69" s="64" t="n"/>
      <c r="B69" s="127" t="n">
        <v>136</v>
      </c>
      <c r="C69" s="128" t="n">
        <v>1</v>
      </c>
      <c r="D69" s="40" t="n">
        <v>6</v>
      </c>
      <c r="E69" s="41" t="inlineStr">
        <is>
          <t>안전관리론</t>
        </is>
      </c>
      <c r="F69" s="42" t="inlineStr">
        <is>
          <t>파지와 망각 에빙하우스</t>
        </is>
      </c>
      <c r="G69" s="46" t="inlineStr">
        <is>
          <t>6. 파지와 망각</t>
        </is>
      </c>
      <c r="H69" s="30" t="n"/>
      <c r="I69" s="30" t="n"/>
      <c r="J69" s="30" t="n"/>
      <c r="K69" s="30" t="n"/>
      <c r="L69" s="30" t="n"/>
      <c r="M69" s="30" t="n"/>
      <c r="O69" s="30" t="n"/>
      <c r="P69" s="30" t="n"/>
    </row>
    <row r="70" customFormat="1" s="31">
      <c r="A70" s="65" t="n"/>
      <c r="B70" s="129" t="n">
        <v>136</v>
      </c>
      <c r="C70" s="130" t="n">
        <v>1</v>
      </c>
      <c r="D70" s="66" t="n">
        <v>7</v>
      </c>
      <c r="E70" s="66" t="inlineStr">
        <is>
          <t>기초</t>
        </is>
      </c>
      <c r="F70" s="67" t="inlineStr">
        <is>
          <t>옹벽</t>
        </is>
      </c>
      <c r="G70" s="68" t="inlineStr">
        <is>
          <t>7. 옹벽의 안전조건과 붕괴사고 예방대책</t>
        </is>
      </c>
      <c r="H70" s="30" t="n"/>
      <c r="I70" s="30" t="n"/>
      <c r="J70" s="30" t="n"/>
      <c r="K70" s="30" t="n"/>
      <c r="L70" s="30" t="n"/>
      <c r="M70" s="30" t="n"/>
      <c r="O70" s="30" t="n"/>
      <c r="P70" s="30" t="n"/>
    </row>
    <row r="71" customFormat="1" s="31">
      <c r="A71" s="64" t="n"/>
      <c r="B71" s="127" t="n">
        <v>136</v>
      </c>
      <c r="C71" s="128" t="n">
        <v>1</v>
      </c>
      <c r="D71" s="40" t="n">
        <v>8</v>
      </c>
      <c r="E71" s="41" t="inlineStr">
        <is>
          <t>안전관리론</t>
        </is>
      </c>
      <c r="F71" s="42" t="inlineStr">
        <is>
          <t>모랄 서베이</t>
        </is>
      </c>
      <c r="G71" s="46" t="inlineStr">
        <is>
          <t>8. 모랄 서베이(Moral Survey)</t>
        </is>
      </c>
      <c r="H71" s="30" t="n"/>
      <c r="I71" s="30" t="n"/>
      <c r="J71" s="30" t="n"/>
      <c r="K71" s="30" t="n"/>
      <c r="L71" s="30" t="n"/>
      <c r="M71" s="30" t="n"/>
      <c r="O71" s="30" t="n"/>
      <c r="P71" s="30" t="n"/>
    </row>
    <row r="72" customFormat="1" s="31">
      <c r="A72" s="64" t="n"/>
      <c r="B72" s="127" t="n">
        <v>136</v>
      </c>
      <c r="C72" s="128" t="n">
        <v>1</v>
      </c>
      <c r="D72" s="40" t="n">
        <v>9</v>
      </c>
      <c r="E72" s="41" t="inlineStr">
        <is>
          <t>지진</t>
        </is>
      </c>
      <c r="F72" s="42" t="inlineStr">
        <is>
          <t>지진 규모 진도</t>
        </is>
      </c>
      <c r="G72" s="46" t="inlineStr">
        <is>
          <t>9. 지진파의 종류와 지진의 규모(Magnitude) 및 진도(Intensity)</t>
        </is>
      </c>
      <c r="H72" s="30" t="n"/>
      <c r="I72" s="30" t="n"/>
      <c r="J72" s="30" t="n"/>
      <c r="K72" s="30" t="n"/>
      <c r="L72" s="30" t="n"/>
      <c r="M72" s="30" t="n"/>
      <c r="O72" s="30" t="n"/>
      <c r="P72" s="30" t="n"/>
    </row>
    <row r="73" customFormat="1" s="31">
      <c r="A73" s="25" t="n"/>
      <c r="B73" s="127" t="n">
        <v>136</v>
      </c>
      <c r="C73" s="128" t="n">
        <v>1</v>
      </c>
      <c r="D73" s="40" t="n">
        <v>10</v>
      </c>
      <c r="E73" s="41" t="inlineStr">
        <is>
          <t>산안법</t>
        </is>
      </c>
      <c r="F73" s="42" t="inlineStr">
        <is>
          <t>작업환경측정</t>
        </is>
      </c>
      <c r="G73" s="46" t="inlineStr">
        <is>
          <t>10. 작업환경측정의 정의 및 주기</t>
        </is>
      </c>
      <c r="H73" s="30" t="n"/>
      <c r="I73" s="30" t="n"/>
      <c r="J73" s="30" t="n"/>
      <c r="K73" s="30" t="n"/>
      <c r="L73" s="30" t="n"/>
      <c r="M73" s="30" t="n"/>
      <c r="O73" s="30" t="n"/>
      <c r="P73" s="30" t="n"/>
    </row>
    <row r="74" customFormat="1" s="31">
      <c r="A74" s="64" t="n"/>
      <c r="B74" s="127" t="n">
        <v>136</v>
      </c>
      <c r="C74" s="128" t="n">
        <v>1</v>
      </c>
      <c r="D74" s="40" t="n">
        <v>11</v>
      </c>
      <c r="E74" s="41" t="inlineStr">
        <is>
          <t>산안법</t>
        </is>
      </c>
      <c r="F74" s="42" t="inlineStr">
        <is>
          <t>작업중지</t>
        </is>
      </c>
      <c r="G74" s="46" t="inlineStr">
        <is>
          <t>11. 사업주의 작업중지와 근로자의 작업중지(산업안전보건법 제51조 및 제52조)</t>
        </is>
      </c>
      <c r="H74" s="30" t="n"/>
      <c r="I74" s="30" t="n"/>
      <c r="J74" s="30" t="n"/>
      <c r="K74" s="30" t="n"/>
      <c r="L74" s="30" t="n"/>
      <c r="M74" s="30" t="n"/>
      <c r="O74" s="30" t="n"/>
      <c r="P74" s="30" t="n"/>
    </row>
    <row r="75" customFormat="1" s="31">
      <c r="A75" s="25" t="n"/>
      <c r="B75" s="127" t="n">
        <v>136</v>
      </c>
      <c r="C75" s="128" t="n">
        <v>1</v>
      </c>
      <c r="D75" s="40" t="n">
        <v>12</v>
      </c>
      <c r="E75" s="41" t="inlineStr">
        <is>
          <t>터널</t>
        </is>
      </c>
      <c r="F75" s="42" t="inlineStr">
        <is>
          <t>터널 지보공</t>
        </is>
      </c>
      <c r="G75" s="46" t="inlineStr">
        <is>
          <t>12. 터널 지보공 설치시 주요 점검 사항</t>
        </is>
      </c>
      <c r="H75" s="30" t="n"/>
      <c r="I75" s="30" t="n"/>
      <c r="J75" s="30" t="n"/>
      <c r="K75" s="30" t="n"/>
      <c r="L75" s="30" t="n"/>
      <c r="M75" s="30" t="n"/>
      <c r="O75" s="30" t="n"/>
      <c r="P75" s="30" t="n"/>
    </row>
    <row r="76" customFormat="1" s="31">
      <c r="A76" s="25" t="n"/>
      <c r="B76" s="127" t="n">
        <v>136</v>
      </c>
      <c r="C76" s="128" t="n">
        <v>1</v>
      </c>
      <c r="D76" s="40" t="n">
        <v>13</v>
      </c>
      <c r="E76" s="41" t="inlineStr">
        <is>
          <t>가설공사</t>
        </is>
      </c>
      <c r="F76" s="42" t="inlineStr">
        <is>
          <t>사다리</t>
        </is>
      </c>
      <c r="G76" s="46" t="inlineStr">
        <is>
          <t>13. 사다리식 통로 설치 시 준수 사항</t>
        </is>
      </c>
      <c r="H76" s="30" t="n"/>
      <c r="I76" s="30" t="n"/>
      <c r="J76" s="30" t="n"/>
      <c r="K76" s="30" t="n"/>
      <c r="L76" s="30" t="n"/>
      <c r="M76" s="30" t="n"/>
      <c r="O76" s="30" t="n"/>
      <c r="P76" s="30" t="n"/>
    </row>
    <row r="77" ht="49.5" customFormat="1" customHeight="1" s="31">
      <c r="A77" s="64" t="n"/>
      <c r="B77" s="127" t="n">
        <v>136</v>
      </c>
      <c r="C77" s="128" t="n">
        <v>2</v>
      </c>
      <c r="D77" s="40" t="n">
        <v>1</v>
      </c>
      <c r="E77" s="41" t="inlineStr">
        <is>
          <t>재해유형</t>
        </is>
      </c>
      <c r="F77" s="42" t="inlineStr">
        <is>
          <t>추락</t>
        </is>
      </c>
      <c r="G77" s="46" t="inlineStr">
        <is>
          <t>1. 건설공사안전관리종합정보망(CSI)신고 기준에 따르면 2024년 건설현장 전체사망자 중 추락으로 인한 사망자가 51.2%를 차지하고 있어 추락사고에 대한 대책마련과 집중관리가 필요한 실정이다. 이에, 최근 국가에서 추진중인 건설현장 추락사고 예방대책(25.02.28, 관계부처합동)을 설명하시오</t>
        </is>
      </c>
      <c r="H77" s="30" t="n"/>
      <c r="I77" s="30" t="n"/>
      <c r="J77" s="30" t="n"/>
      <c r="K77" s="30" t="n"/>
      <c r="L77" s="30" t="n"/>
      <c r="M77" s="30" t="n"/>
      <c r="O77" s="30" t="n"/>
      <c r="P77" s="30" t="n"/>
    </row>
    <row r="78" customFormat="1" s="31">
      <c r="A78" s="25" t="n"/>
      <c r="B78" s="131" t="n">
        <v>136</v>
      </c>
      <c r="C78" s="132" t="n">
        <v>2</v>
      </c>
      <c r="D78" s="60" t="n">
        <v>2</v>
      </c>
      <c r="E78" s="61" t="inlineStr">
        <is>
          <t>안전관리론</t>
        </is>
      </c>
      <c r="F78" s="62" t="inlineStr">
        <is>
          <t>자극 반응</t>
        </is>
      </c>
      <c r="G78" s="63" t="inlineStr">
        <is>
          <t>2. 자극-반응(Stimulus-Response)이론에 대하여 설명하시오</t>
        </is>
      </c>
      <c r="H78" s="30" t="n"/>
      <c r="I78" s="30" t="n"/>
      <c r="J78" s="30" t="n"/>
      <c r="K78" s="30" t="n"/>
      <c r="L78" s="30" t="n"/>
      <c r="M78" s="30" t="n"/>
      <c r="O78" s="30" t="n"/>
      <c r="P78" s="30" t="n"/>
    </row>
    <row r="79" customFormat="1" s="31">
      <c r="A79" s="64" t="n"/>
      <c r="B79" s="127" t="n">
        <v>136</v>
      </c>
      <c r="C79" s="128" t="n">
        <v>2</v>
      </c>
      <c r="D79" s="40" t="n">
        <v>3</v>
      </c>
      <c r="E79" s="41" t="inlineStr">
        <is>
          <t>재해유형</t>
        </is>
      </c>
      <c r="F79" s="42" t="inlineStr">
        <is>
          <t>화재</t>
        </is>
      </c>
      <c r="G79" s="46" t="inlineStr">
        <is>
          <t>3. 건설현장 화재발생 유형 및 화재예방을 위한 사업주의 의무와 화재발생 예방대책에 대하여 설명하시오</t>
        </is>
      </c>
      <c r="H79" s="30" t="n"/>
      <c r="I79" s="30" t="n"/>
      <c r="J79" s="30" t="n"/>
      <c r="K79" s="30" t="n"/>
      <c r="L79" s="30" t="n"/>
      <c r="M79" s="30" t="n"/>
      <c r="O79" s="30" t="n"/>
      <c r="P79" s="30" t="n"/>
    </row>
    <row r="80" customFormat="1" s="31">
      <c r="A80" s="25" t="n"/>
      <c r="B80" s="127" t="n">
        <v>136</v>
      </c>
      <c r="C80" s="128" t="n">
        <v>2</v>
      </c>
      <c r="D80" s="40" t="n">
        <v>4</v>
      </c>
      <c r="E80" s="41" t="inlineStr">
        <is>
          <t>건축</t>
        </is>
      </c>
      <c r="F80" s="42" t="inlineStr">
        <is>
          <t>무량판슬래브</t>
        </is>
      </c>
      <c r="G80" s="46" t="inlineStr">
        <is>
          <t>4. 무량판구조 슬래브의 종류와 특징, 시공 시 유의사항과 재해예방을 위한 안전대책에 대하여 설명하시오</t>
        </is>
      </c>
      <c r="H80" s="30" t="n"/>
      <c r="I80" s="30" t="n"/>
      <c r="J80" s="30" t="n"/>
      <c r="K80" s="30" t="n"/>
      <c r="L80" s="30" t="n"/>
      <c r="M80" s="30" t="n"/>
      <c r="O80" s="30" t="n"/>
      <c r="P80" s="30" t="n"/>
    </row>
    <row r="81" ht="33" customFormat="1" customHeight="1" s="31">
      <c r="A81" s="64" t="n"/>
      <c r="B81" s="127" t="n">
        <v>136</v>
      </c>
      <c r="C81" s="128" t="n">
        <v>2</v>
      </c>
      <c r="D81" s="40" t="n">
        <v>5</v>
      </c>
      <c r="E81" s="41" t="inlineStr">
        <is>
          <t>토공</t>
        </is>
      </c>
      <c r="F81" s="42" t="inlineStr">
        <is>
          <t>굴착</t>
        </is>
      </c>
      <c r="G81" s="46" t="inlineStr">
        <is>
          <t>5. 굴착면의 높이가 2m 이상이 되는 지반의 굴착작업시 사전조사 내용과 작업계획서 작성 내용에 대하여 설명하시오</t>
        </is>
      </c>
      <c r="H81" s="30" t="n"/>
      <c r="I81" s="30" t="n"/>
      <c r="J81" s="30" t="n"/>
      <c r="K81" s="30" t="n"/>
      <c r="L81" s="30" t="n"/>
      <c r="M81" s="30" t="n"/>
      <c r="O81" s="30" t="n"/>
      <c r="P81" s="30" t="n"/>
    </row>
    <row r="82" customFormat="1" s="31">
      <c r="A82" s="64" t="n"/>
      <c r="B82" s="127" t="n">
        <v>136</v>
      </c>
      <c r="C82" s="128" t="n">
        <v>2</v>
      </c>
      <c r="D82" s="40" t="n">
        <v>6</v>
      </c>
      <c r="E82" s="41" t="inlineStr">
        <is>
          <t>가설공사</t>
        </is>
      </c>
      <c r="F82" s="42" t="inlineStr">
        <is>
          <t>달비계</t>
        </is>
      </c>
      <c r="G82" s="46" t="inlineStr">
        <is>
          <t>6. 건설현장에서 작업의자형 달비계 설치 시 준수 사항, 점검 및 보수 사항에 대하여 설명하시오</t>
        </is>
      </c>
      <c r="H82" s="30" t="n"/>
      <c r="I82" s="30" t="n"/>
      <c r="J82" s="30" t="n"/>
      <c r="K82" s="30" t="n"/>
      <c r="L82" s="30" t="n"/>
      <c r="M82" s="30" t="n"/>
      <c r="O82" s="30" t="n"/>
      <c r="P82" s="30" t="n"/>
    </row>
    <row r="83" ht="33" customFormat="1" customHeight="1" s="31">
      <c r="A83" s="64" t="n"/>
      <c r="B83" s="127" t="n">
        <v>136</v>
      </c>
      <c r="C83" s="128" t="n">
        <v>3</v>
      </c>
      <c r="D83" s="40" t="n">
        <v>1</v>
      </c>
      <c r="E83" s="41" t="inlineStr">
        <is>
          <t>중대재해처벌법</t>
        </is>
      </c>
      <c r="F83" s="42" t="inlineStr">
        <is>
          <t>안전보건관리체계</t>
        </is>
      </c>
      <c r="G83" s="46" t="inlineStr">
        <is>
          <t>1. 산업안전보건법령상 중대재해와 중대재해 처벌 등에 관한 법률상 중대산업재해를 구분하여 정의하고, 중대재해 처벌 등에 관한 법률 시행령에 따른 안전보건관리체계의 구축 및 이행 조치에 관하여 설명하시오</t>
        </is>
      </c>
      <c r="H83" s="30" t="n"/>
      <c r="I83" s="30" t="n"/>
      <c r="J83" s="30" t="n"/>
      <c r="K83" s="30" t="n"/>
      <c r="L83" s="30" t="n"/>
      <c r="M83" s="30" t="n"/>
      <c r="O83" s="30" t="n"/>
      <c r="P83" s="30" t="n"/>
    </row>
    <row r="84" ht="33" customFormat="1" customHeight="1" s="31">
      <c r="A84" s="64" t="n"/>
      <c r="B84" s="127" t="n">
        <v>136</v>
      </c>
      <c r="C84" s="128" t="n">
        <v>3</v>
      </c>
      <c r="D84" s="40" t="n">
        <v>2</v>
      </c>
      <c r="E84" s="41" t="inlineStr">
        <is>
          <t>건진법</t>
        </is>
      </c>
      <c r="F84" s="42" t="inlineStr">
        <is>
          <t>안전관리계획서</t>
        </is>
      </c>
      <c r="G84" s="46" t="inlineStr">
        <is>
          <t>2. 건설기술진흥법상 안전관리계획서 작성대상 및 작성내용과 대상 시설물별 세부 안전관리계획서에 대하여 설명하시오</t>
        </is>
      </c>
      <c r="H84" s="30" t="n"/>
      <c r="I84" s="30" t="n"/>
      <c r="J84" s="30" t="n"/>
      <c r="K84" s="30" t="n"/>
      <c r="L84" s="30" t="n"/>
      <c r="M84" s="30" t="n"/>
      <c r="O84" s="30" t="n"/>
      <c r="P84" s="30" t="n"/>
    </row>
    <row r="85" customFormat="1" s="31">
      <c r="A85" s="64" t="n"/>
      <c r="B85" s="127" t="n">
        <v>136</v>
      </c>
      <c r="C85" s="128" t="n">
        <v>3</v>
      </c>
      <c r="D85" s="40" t="n">
        <v>3</v>
      </c>
      <c r="E85" s="41" t="inlineStr">
        <is>
          <t>안전관리론</t>
        </is>
      </c>
      <c r="F85" s="42" t="inlineStr">
        <is>
          <t>의식수준 부주의</t>
        </is>
      </c>
      <c r="G85" s="46" t="inlineStr">
        <is>
          <t>3. 정보처리 채널(의식수준 5단계)과 주의 및 부주의 상태에 대하여 설명하시오</t>
        </is>
      </c>
      <c r="H85" s="30" t="n"/>
      <c r="I85" s="30" t="n"/>
      <c r="J85" s="30" t="n"/>
      <c r="K85" s="30" t="n"/>
      <c r="L85" s="30" t="n"/>
      <c r="M85" s="30" t="n"/>
      <c r="O85" s="30" t="n"/>
      <c r="P85" s="30" t="n"/>
    </row>
    <row r="86" ht="33" customFormat="1" customHeight="1" s="31">
      <c r="A86" s="64" t="n"/>
      <c r="B86" s="127" t="n">
        <v>136</v>
      </c>
      <c r="C86" s="128" t="n">
        <v>3</v>
      </c>
      <c r="D86" s="40" t="n">
        <v>4</v>
      </c>
      <c r="E86" s="41" t="inlineStr">
        <is>
          <t>산안법</t>
        </is>
      </c>
      <c r="F86" s="42" t="inlineStr">
        <is>
          <t>와이어로프</t>
        </is>
      </c>
      <c r="G86" s="46" t="inlineStr">
        <is>
          <t>4. 양중작업시 사용하는 와이어로프, 달기체인, 섬유로프의 사용금지 기준과 레버풀러(Lever Puller)또는 체인블록(Chain block)사용 시 준수사항에 대하여 설명하시오</t>
        </is>
      </c>
      <c r="H86" s="30" t="n"/>
      <c r="I86" s="30" t="n"/>
      <c r="J86" s="30" t="n"/>
      <c r="K86" s="30" t="n"/>
      <c r="L86" s="30" t="n"/>
      <c r="M86" s="30" t="n"/>
      <c r="O86" s="30" t="n"/>
      <c r="P86" s="30" t="n"/>
    </row>
    <row r="87" ht="33" customFormat="1" customHeight="1" s="31">
      <c r="A87" s="64" t="n"/>
      <c r="B87" s="127" t="n">
        <v>136</v>
      </c>
      <c r="C87" s="128" t="n">
        <v>3</v>
      </c>
      <c r="D87" s="40" t="n">
        <v>5</v>
      </c>
      <c r="E87" s="41" t="inlineStr">
        <is>
          <t>철골</t>
        </is>
      </c>
      <c r="F87" s="42" t="inlineStr">
        <is>
          <t>철골조립</t>
        </is>
      </c>
      <c r="G87" s="46" t="inlineStr">
        <is>
          <t>5. 고층건물 철골공사 작업 시 철골조립 준비사항, 반입시 준수사항 및 시공 중 재해방지설비에 대하여 설명하시오</t>
        </is>
      </c>
      <c r="H87" s="30" t="n"/>
      <c r="I87" s="30" t="n"/>
      <c r="J87" s="30" t="n"/>
      <c r="K87" s="30" t="n"/>
      <c r="L87" s="30" t="n"/>
      <c r="M87" s="30" t="n"/>
      <c r="O87" s="30" t="n"/>
      <c r="P87" s="30" t="n"/>
    </row>
    <row r="88" ht="33" customFormat="1" customHeight="1" s="31">
      <c r="A88" s="25" t="n"/>
      <c r="B88" s="131" t="n">
        <v>136</v>
      </c>
      <c r="C88" s="132" t="n">
        <v>3</v>
      </c>
      <c r="D88" s="60" t="n">
        <v>6</v>
      </c>
      <c r="E88" s="61" t="inlineStr">
        <is>
          <t>터널</t>
        </is>
      </c>
      <c r="F88" s="62" t="inlineStr">
        <is>
          <t xml:space="preserve">쉴드 TBM </t>
        </is>
      </c>
      <c r="G88" s="63" t="inlineStr">
        <is>
          <t>6. Shield TBM(Tunnel Boring Machine)공법 적용 시 막장면을 지지하는 방식을 분류하고 단계별 시공 시 안전관리 사항에 대하여 설명하시오</t>
        </is>
      </c>
      <c r="H88" s="30" t="n"/>
      <c r="I88" s="30" t="n"/>
      <c r="J88" s="30" t="n"/>
      <c r="K88" s="30" t="n"/>
      <c r="L88" s="30" t="n"/>
      <c r="M88" s="30" t="n"/>
      <c r="O88" s="30" t="n"/>
      <c r="P88" s="30" t="n"/>
    </row>
    <row r="89" customFormat="1" s="31">
      <c r="A89" s="64" t="n"/>
      <c r="B89" s="127" t="n">
        <v>136</v>
      </c>
      <c r="C89" s="128" t="n">
        <v>4</v>
      </c>
      <c r="D89" s="40" t="n">
        <v>1</v>
      </c>
      <c r="E89" s="41" t="inlineStr">
        <is>
          <t>안전관리론</t>
        </is>
      </c>
      <c r="F89" s="42" t="inlineStr">
        <is>
          <t>Man-Machine System</t>
        </is>
      </c>
      <c r="G89" s="46" t="inlineStr">
        <is>
          <t>1. Man-Machine System(인간-기계 체계)에 대하여 설명하시오</t>
        </is>
      </c>
      <c r="H89" s="30" t="n"/>
      <c r="I89" s="30" t="n"/>
      <c r="J89" s="30" t="n"/>
      <c r="K89" s="30" t="n"/>
      <c r="L89" s="30" t="n"/>
      <c r="M89" s="30" t="n"/>
      <c r="O89" s="30" t="n"/>
      <c r="P89" s="30" t="n"/>
    </row>
    <row r="90" ht="33" customFormat="1" customHeight="1" s="31">
      <c r="A90" s="64" t="n"/>
      <c r="B90" s="127" t="n">
        <v>136</v>
      </c>
      <c r="C90" s="128" t="n">
        <v>4</v>
      </c>
      <c r="D90" s="40" t="n">
        <v>2</v>
      </c>
      <c r="E90" s="41" t="inlineStr">
        <is>
          <t>건진법</t>
        </is>
      </c>
      <c r="F90" s="42" t="inlineStr">
        <is>
          <t>안전점검</t>
        </is>
      </c>
      <c r="G90" s="46" t="inlineStr">
        <is>
          <t>2. 건설기술진흥법령상 건설공사 안전점검의 종류, 실시시기, 점검내용과 시공자의 안전관리 업무에 대하여 설명하시오</t>
        </is>
      </c>
      <c r="H90" s="30" t="n"/>
      <c r="I90" s="30" t="n"/>
      <c r="J90" s="30" t="n"/>
      <c r="K90" s="30" t="n"/>
      <c r="L90" s="30" t="n"/>
      <c r="M90" s="30" t="n"/>
      <c r="O90" s="30" t="n"/>
      <c r="P90" s="30" t="n"/>
    </row>
    <row r="91" ht="33" customFormat="1" customHeight="1" s="31">
      <c r="A91" s="64" t="n"/>
      <c r="B91" s="127" t="n">
        <v>136</v>
      </c>
      <c r="C91" s="128" t="n">
        <v>4</v>
      </c>
      <c r="D91" s="40" t="n">
        <v>3</v>
      </c>
      <c r="E91" s="41" t="inlineStr">
        <is>
          <t>산안법</t>
        </is>
      </c>
      <c r="F91" s="42" t="inlineStr">
        <is>
          <t>기계 기구 대여자</t>
        </is>
      </c>
      <c r="G91" s="46" t="inlineStr">
        <is>
          <t>3. 산업안전보건법상 대여자 등이 안전조치를 해야 하는 기계.기구 등의 종류, 대여자의 조치사항, 대여받는 자의 조치사항 및 타워크레인을 대여 받은 자의 조치사항에 대하여 설명하시오</t>
        </is>
      </c>
      <c r="H91" s="30" t="n"/>
      <c r="I91" s="30" t="n"/>
      <c r="J91" s="30" t="n"/>
      <c r="K91" s="30" t="n"/>
      <c r="L91" s="30" t="n"/>
      <c r="M91" s="30" t="n"/>
      <c r="O91" s="30" t="n"/>
      <c r="P91" s="30" t="n"/>
    </row>
    <row r="92" customFormat="1" s="31">
      <c r="A92" s="64" t="n"/>
      <c r="B92" s="127" t="n">
        <v>136</v>
      </c>
      <c r="C92" s="128" t="n">
        <v>4</v>
      </c>
      <c r="D92" s="40" t="n">
        <v>4</v>
      </c>
      <c r="E92" s="41" t="inlineStr">
        <is>
          <t>콘크리트</t>
        </is>
      </c>
      <c r="F92" s="42" t="inlineStr">
        <is>
          <t>열화</t>
        </is>
      </c>
      <c r="G92" s="46" t="inlineStr">
        <is>
          <t>4. 철근콘크리트 구조물에 발생하는 열화방생 원인, 열화유형, 열화판정기준 및 예방대책을 설명하시오</t>
        </is>
      </c>
      <c r="H92" s="30" t="n"/>
      <c r="I92" s="30" t="n"/>
      <c r="J92" s="30" t="n"/>
      <c r="K92" s="30" t="n"/>
      <c r="L92" s="30" t="n"/>
      <c r="M92" s="30" t="n"/>
      <c r="O92" s="30" t="n"/>
      <c r="P92" s="30" t="n"/>
    </row>
    <row r="93" customFormat="1" s="31">
      <c r="A93" s="64" t="n"/>
      <c r="B93" s="127" t="n">
        <v>136</v>
      </c>
      <c r="C93" s="128" t="n">
        <v>4</v>
      </c>
      <c r="D93" s="40" t="n">
        <v>5</v>
      </c>
      <c r="E93" s="41" t="inlineStr">
        <is>
          <t>토공</t>
        </is>
      </c>
      <c r="F93" s="42" t="inlineStr">
        <is>
          <t>사면안정</t>
        </is>
      </c>
      <c r="G93" s="46" t="inlineStr">
        <is>
          <t>5. 비탈면 사면붕괴 형태, 붕괴원인 및 방지 대책에 대하여 설명하시오</t>
        </is>
      </c>
      <c r="H93" s="30" t="n"/>
      <c r="I93" s="30" t="n"/>
      <c r="J93" s="30" t="n"/>
      <c r="K93" s="30" t="n"/>
      <c r="L93" s="30" t="n"/>
      <c r="M93" s="30" t="n"/>
      <c r="O93" s="30" t="n"/>
      <c r="P93" s="30" t="n"/>
    </row>
    <row r="94" ht="33" customFormat="1" customHeight="1" s="31">
      <c r="A94" s="64" t="n"/>
      <c r="B94" s="127" t="n">
        <v>136</v>
      </c>
      <c r="C94" s="128" t="n">
        <v>4</v>
      </c>
      <c r="D94" s="40" t="n">
        <v>6</v>
      </c>
      <c r="E94" s="41" t="inlineStr">
        <is>
          <t>건설기계</t>
        </is>
      </c>
      <c r="F94" s="42" t="inlineStr">
        <is>
          <t>리프트</t>
        </is>
      </c>
      <c r="G94" s="46" t="inlineStr">
        <is>
          <t>6. 도심지 초고층 빌딩 건설현장에 설치되는 건설용 리프트의 종류 및 안전장치, 설치.해체 작업 시 안전한 장업 방법을 설명하시오</t>
        </is>
      </c>
      <c r="H94" s="30" t="n"/>
      <c r="I94" s="30" t="n"/>
      <c r="J94" s="30" t="n"/>
      <c r="K94" s="30" t="n"/>
      <c r="L94" s="30" t="n"/>
      <c r="M94" s="30" t="n"/>
      <c r="O94" s="30" t="n"/>
      <c r="P94" s="30" t="n"/>
    </row>
    <row r="95" customFormat="1" s="31">
      <c r="A95" s="25" t="n"/>
      <c r="B95" s="127" t="n">
        <v>135</v>
      </c>
      <c r="C95" s="128" t="n">
        <v>1</v>
      </c>
      <c r="D95" s="40" t="n">
        <v>1</v>
      </c>
      <c r="E95" s="41" t="inlineStr">
        <is>
          <t>건설기계</t>
        </is>
      </c>
      <c r="F95" s="42" t="inlineStr">
        <is>
          <t>곤돌라</t>
        </is>
      </c>
      <c r="G95" s="46" t="inlineStr">
        <is>
          <t>1. 곤돌라 작업 시 안전수칙</t>
        </is>
      </c>
      <c r="H95" s="30" t="n"/>
      <c r="I95" s="30" t="n"/>
      <c r="J95" s="30" t="n"/>
      <c r="K95" s="30" t="n"/>
      <c r="L95" s="30" t="n"/>
      <c r="M95" s="30" t="n"/>
      <c r="O95" s="30" t="n"/>
      <c r="P95" s="30" t="n"/>
    </row>
    <row r="96" customFormat="1" s="31">
      <c r="A96" s="25" t="n"/>
      <c r="B96" s="127" t="n">
        <v>135</v>
      </c>
      <c r="C96" s="128" t="n">
        <v>1</v>
      </c>
      <c r="D96" s="40" t="n">
        <v>2</v>
      </c>
      <c r="E96" s="41" t="inlineStr">
        <is>
          <t>산안법</t>
        </is>
      </c>
      <c r="F96" s="42" t="inlineStr">
        <is>
          <t>위험성 평가</t>
        </is>
      </c>
      <c r="G96" s="46" t="inlineStr">
        <is>
          <t>2. 위험성평가의 실시 시기</t>
        </is>
      </c>
      <c r="H96" s="30" t="n"/>
      <c r="I96" s="30" t="n"/>
      <c r="J96" s="30" t="n"/>
      <c r="K96" s="30" t="n"/>
      <c r="L96" s="30" t="n"/>
      <c r="M96" s="30" t="n"/>
      <c r="O96" s="30" t="n"/>
      <c r="P96" s="30" t="n"/>
    </row>
    <row r="97" customFormat="1" s="31">
      <c r="A97" s="25" t="n"/>
      <c r="B97" s="127" t="n">
        <v>135</v>
      </c>
      <c r="C97" s="128" t="n">
        <v>1</v>
      </c>
      <c r="D97" s="40" t="n">
        <v>3</v>
      </c>
      <c r="E97" s="41" t="inlineStr">
        <is>
          <t>산안법</t>
        </is>
      </c>
      <c r="F97" s="42" t="inlineStr">
        <is>
          <t>안전보건표지</t>
        </is>
      </c>
      <c r="G97" s="46" t="inlineStr">
        <is>
          <t>3. 안전보건표지의 종류 및 형태</t>
        </is>
      </c>
      <c r="H97" s="30" t="n"/>
      <c r="I97" s="30" t="n"/>
      <c r="J97" s="30" t="n"/>
      <c r="K97" s="30" t="n"/>
      <c r="L97" s="30" t="n"/>
      <c r="M97" s="30" t="n"/>
      <c r="O97" s="30" t="n"/>
      <c r="P97" s="30" t="n"/>
    </row>
    <row r="98" customFormat="1" s="31">
      <c r="A98" s="25" t="n"/>
      <c r="B98" s="127" t="n">
        <v>135</v>
      </c>
      <c r="C98" s="128" t="n">
        <v>1</v>
      </c>
      <c r="D98" s="40" t="n">
        <v>4</v>
      </c>
      <c r="E98" s="41" t="inlineStr">
        <is>
          <t>토공</t>
        </is>
      </c>
      <c r="F98" s="42" t="inlineStr">
        <is>
          <t>사면붕괴</t>
        </is>
      </c>
      <c r="G98" s="46" t="inlineStr">
        <is>
          <t>4. 절토 사면의 붕괴 원인과 방지 대책</t>
        </is>
      </c>
      <c r="H98" s="30" t="n"/>
      <c r="I98" s="30" t="n"/>
      <c r="J98" s="30" t="n"/>
      <c r="K98" s="30" t="n"/>
      <c r="L98" s="30" t="n"/>
      <c r="M98" s="30" t="n"/>
      <c r="O98" s="30" t="n"/>
      <c r="P98" s="30" t="n"/>
    </row>
    <row r="99" customFormat="1" s="31">
      <c r="A99" s="25" t="n"/>
      <c r="B99" s="127" t="n">
        <v>135</v>
      </c>
      <c r="C99" s="128" t="n">
        <v>1</v>
      </c>
      <c r="D99" s="40" t="n">
        <v>5</v>
      </c>
      <c r="E99" s="41" t="inlineStr">
        <is>
          <t>토공</t>
        </is>
      </c>
      <c r="F99" s="42" t="inlineStr">
        <is>
          <t>지하수위</t>
        </is>
      </c>
      <c r="G99" s="46" t="inlineStr">
        <is>
          <t>5. 지하수위 저하공법</t>
        </is>
      </c>
      <c r="H99" s="30" t="n"/>
      <c r="I99" s="30" t="n"/>
      <c r="J99" s="30" t="n"/>
      <c r="K99" s="30" t="n"/>
      <c r="L99" s="30" t="n"/>
      <c r="M99" s="30" t="n"/>
      <c r="O99" s="30" t="n"/>
      <c r="P99" s="30" t="n"/>
    </row>
    <row r="100" customFormat="1" s="31">
      <c r="A100" s="64" t="n"/>
      <c r="B100" s="127" t="n">
        <v>135</v>
      </c>
      <c r="C100" s="128" t="n">
        <v>1</v>
      </c>
      <c r="D100" s="40" t="n">
        <v>6</v>
      </c>
      <c r="E100" s="41" t="inlineStr">
        <is>
          <t>산안법</t>
        </is>
      </c>
      <c r="F100" s="42" t="inlineStr">
        <is>
          <t>작업지휘자</t>
        </is>
      </c>
      <c r="G100" s="46" t="inlineStr">
        <is>
          <t>6. 작업지휘자 지정작업의 종류와 업무</t>
        </is>
      </c>
      <c r="H100" s="30" t="n"/>
      <c r="I100" s="30" t="n"/>
      <c r="J100" s="30" t="n"/>
      <c r="K100" s="30" t="n"/>
      <c r="L100" s="30" t="n"/>
      <c r="M100" s="30" t="n"/>
      <c r="O100" s="30" t="n"/>
      <c r="P100" s="30" t="n"/>
    </row>
    <row r="101" customFormat="1" s="31">
      <c r="A101" s="64" t="n"/>
      <c r="B101" s="127" t="n">
        <v>135</v>
      </c>
      <c r="C101" s="128" t="n">
        <v>1</v>
      </c>
      <c r="D101" s="40" t="n">
        <v>7</v>
      </c>
      <c r="E101" s="41" t="inlineStr">
        <is>
          <t>건설기계</t>
        </is>
      </c>
      <c r="F101" s="42" t="inlineStr">
        <is>
          <t>고소작업대</t>
        </is>
      </c>
      <c r="G101" s="46" t="inlineStr">
        <is>
          <t>7. 고소작업대 설치 및 사용 시 조치ㆍ준수사항</t>
        </is>
      </c>
      <c r="H101" s="30" t="n"/>
      <c r="I101" s="30" t="n"/>
      <c r="J101" s="30" t="n"/>
      <c r="K101" s="30" t="n"/>
      <c r="L101" s="30" t="n"/>
      <c r="M101" s="30" t="n"/>
      <c r="O101" s="30" t="n"/>
      <c r="P101" s="30" t="n"/>
    </row>
    <row r="102" customFormat="1" s="31">
      <c r="A102" s="64" t="n"/>
      <c r="B102" s="127" t="n">
        <v>135</v>
      </c>
      <c r="C102" s="128" t="n">
        <v>1</v>
      </c>
      <c r="D102" s="40" t="n">
        <v>8</v>
      </c>
      <c r="E102" s="41" t="inlineStr">
        <is>
          <t>산안법</t>
        </is>
      </c>
      <c r="F102" s="42" t="inlineStr">
        <is>
          <t>와이어로프</t>
        </is>
      </c>
      <c r="G102" s="46" t="inlineStr">
        <is>
          <t>8. 달비계 와이어로프의 폐기 기준과 클립 체결 기준</t>
        </is>
      </c>
      <c r="H102" s="30" t="n"/>
      <c r="I102" s="30" t="n"/>
      <c r="J102" s="30" t="n"/>
      <c r="K102" s="30" t="n"/>
      <c r="L102" s="30" t="n"/>
      <c r="M102" s="30" t="n"/>
      <c r="O102" s="30" t="n"/>
      <c r="P102" s="30" t="n"/>
    </row>
    <row r="103" customFormat="1" s="31">
      <c r="A103" s="64" t="n"/>
      <c r="B103" s="127" t="n">
        <v>135</v>
      </c>
      <c r="C103" s="128" t="n">
        <v>1</v>
      </c>
      <c r="D103" s="40" t="n">
        <v>9</v>
      </c>
      <c r="E103" s="41" t="inlineStr">
        <is>
          <t>산안법</t>
        </is>
      </c>
      <c r="F103" s="42" t="inlineStr">
        <is>
          <t>화재</t>
        </is>
      </c>
      <c r="G103" s="46" t="inlineStr">
        <is>
          <t>9. 화재 위험작업의 종류와 작업 시의 준수사항</t>
        </is>
      </c>
      <c r="H103" s="30" t="n"/>
      <c r="I103" s="30" t="n"/>
      <c r="J103" s="30" t="n"/>
      <c r="K103" s="30" t="n"/>
      <c r="L103" s="30" t="n"/>
      <c r="M103" s="30" t="n"/>
      <c r="O103" s="30" t="n"/>
      <c r="P103" s="30" t="n"/>
    </row>
    <row r="104" customFormat="1" s="31">
      <c r="A104" s="64" t="n"/>
      <c r="B104" s="127" t="n">
        <v>135</v>
      </c>
      <c r="C104" s="128" t="n">
        <v>1</v>
      </c>
      <c r="D104" s="40" t="n">
        <v>10</v>
      </c>
      <c r="E104" s="41" t="inlineStr">
        <is>
          <t>안전관리론</t>
        </is>
      </c>
      <c r="F104" s="42" t="inlineStr">
        <is>
          <t>도미노이론</t>
        </is>
      </c>
      <c r="G104" s="46" t="inlineStr">
        <is>
          <t>10. Frank E. Bird의 사고발생 신도미노 이론</t>
        </is>
      </c>
      <c r="H104" s="30" t="n"/>
      <c r="I104" s="30" t="n"/>
      <c r="J104" s="30" t="n"/>
      <c r="K104" s="30" t="n"/>
      <c r="L104" s="30" t="n"/>
      <c r="M104" s="30" t="n"/>
      <c r="O104" s="30" t="n"/>
      <c r="P104" s="30" t="n"/>
    </row>
    <row r="105" customFormat="1" s="31">
      <c r="A105" s="64" t="n"/>
      <c r="B105" s="127" t="n">
        <v>135</v>
      </c>
      <c r="C105" s="128" t="n">
        <v>1</v>
      </c>
      <c r="D105" s="40" t="n">
        <v>11</v>
      </c>
      <c r="E105" s="41" t="inlineStr">
        <is>
          <t>토공</t>
        </is>
      </c>
      <c r="F105" s="42" t="inlineStr">
        <is>
          <t>어스앵커</t>
        </is>
      </c>
      <c r="G105" s="46" t="inlineStr">
        <is>
          <t>11. Soil Nailing과 Earth Anchor에 대한 설명과 비교</t>
        </is>
      </c>
      <c r="H105" s="30" t="n"/>
      <c r="I105" s="30" t="n"/>
      <c r="J105" s="30" t="n"/>
      <c r="K105" s="30" t="n"/>
      <c r="L105" s="30" t="n"/>
      <c r="M105" s="30" t="n"/>
      <c r="O105" s="30" t="n"/>
      <c r="P105" s="30" t="n"/>
    </row>
    <row r="106" customFormat="1" s="31">
      <c r="A106" s="25" t="n"/>
      <c r="B106" s="127" t="n">
        <v>135</v>
      </c>
      <c r="C106" s="128" t="n">
        <v>1</v>
      </c>
      <c r="D106" s="40" t="n">
        <v>12</v>
      </c>
      <c r="E106" s="41" t="inlineStr">
        <is>
          <t>가설공사</t>
        </is>
      </c>
      <c r="F106" s="42" t="inlineStr">
        <is>
          <t>수직보호망</t>
        </is>
      </c>
      <c r="G106" s="46" t="inlineStr">
        <is>
          <t>12. 추락재해 방지시설의 종류 중 수직형 추락방망 설치기준</t>
        </is>
      </c>
      <c r="H106" s="30" t="n"/>
      <c r="I106" s="30" t="n"/>
      <c r="J106" s="30" t="n"/>
      <c r="K106" s="30" t="n"/>
      <c r="L106" s="30" t="n"/>
      <c r="M106" s="30" t="n"/>
      <c r="O106" s="30" t="n"/>
      <c r="P106" s="30" t="n"/>
    </row>
    <row r="107" ht="33" customFormat="1" customHeight="1" s="31">
      <c r="A107" s="64" t="n"/>
      <c r="B107" s="127" t="n">
        <v>135</v>
      </c>
      <c r="C107" s="128" t="n">
        <v>1</v>
      </c>
      <c r="D107" s="40" t="n">
        <v>13</v>
      </c>
      <c r="E107" s="41" t="inlineStr">
        <is>
          <t>산안법</t>
        </is>
      </c>
      <c r="F107" s="42" t="inlineStr">
        <is>
          <t>설계</t>
        </is>
      </c>
      <c r="G107" s="46" t="inlineStr">
        <is>
          <t>13. 가설구조물의 설계변경 요청 시 토목 건축 분야 의견을 들을 수 있는 전문가와 해당 시 토목 건축 분야 의견을 들을 수 있는 전문가와 해당 가설구조물의 종류</t>
        </is>
      </c>
      <c r="H107" s="30" t="n"/>
      <c r="I107" s="30" t="n"/>
      <c r="J107" s="30" t="n"/>
      <c r="K107" s="30" t="n"/>
      <c r="L107" s="30" t="n"/>
      <c r="M107" s="30" t="n"/>
      <c r="O107" s="30" t="n"/>
      <c r="P107" s="30" t="n"/>
    </row>
    <row r="108" ht="33" customFormat="1" customHeight="1" s="31">
      <c r="A108" s="64" t="n"/>
      <c r="B108" s="127" t="n">
        <v>135</v>
      </c>
      <c r="C108" s="128" t="n">
        <v>2</v>
      </c>
      <c r="D108" s="40" t="n">
        <v>1</v>
      </c>
      <c r="E108" s="41" t="inlineStr">
        <is>
          <t>산안법</t>
        </is>
      </c>
      <c r="F108" s="42" t="inlineStr">
        <is>
          <t>위험성 평가</t>
        </is>
      </c>
      <c r="G108" s="46" t="inlineStr">
        <is>
          <t>1. 해저드(Hazard)와 리스크(Risk)를 비교하고, 위험성평가 시 위험감소대책에 대하여
설명하시오</t>
        </is>
      </c>
      <c r="H108" s="30" t="n"/>
      <c r="I108" s="30" t="n"/>
      <c r="J108" s="30" t="n"/>
      <c r="K108" s="30" t="n"/>
      <c r="L108" s="30" t="n"/>
      <c r="M108" s="30" t="n"/>
      <c r="O108" s="30" t="n"/>
      <c r="P108" s="30" t="n"/>
    </row>
    <row r="109" ht="49.5" customFormat="1" customHeight="1" s="31">
      <c r="A109" s="64" t="n"/>
      <c r="B109" s="127" t="n">
        <v>135</v>
      </c>
      <c r="C109" s="128" t="n">
        <v>2</v>
      </c>
      <c r="D109" s="40" t="n">
        <v>2</v>
      </c>
      <c r="E109" s="41" t="inlineStr">
        <is>
          <t>중대재해처벌법</t>
        </is>
      </c>
      <c r="F109" s="42" t="inlineStr">
        <is>
          <t>중대재해처벌법</t>
        </is>
      </c>
      <c r="G109" s="46" t="inlineStr">
        <is>
          <t>2. 중대재해 처벌 등에 관한 법률에서 건설공사 적용대상 상시근로자수 산정방법
(근로기준법 상)과 ‘재해예방에 필요한 인력 및 예산 등 안전보건관리체계 구축 및
그 이행에 관한 조치’의 관련 사항을 설명하시오.</t>
        </is>
      </c>
      <c r="H109" s="30" t="n"/>
      <c r="I109" s="30" t="n"/>
      <c r="J109" s="30" t="n"/>
      <c r="K109" s="30" t="n"/>
      <c r="L109" s="30" t="n"/>
      <c r="M109" s="30" t="n"/>
      <c r="O109" s="30" t="n"/>
      <c r="P109" s="30" t="n"/>
    </row>
    <row r="110" ht="33" customFormat="1" customHeight="1" s="31">
      <c r="A110" s="64" t="n"/>
      <c r="B110" s="127" t="n">
        <v>135</v>
      </c>
      <c r="C110" s="128" t="n">
        <v>2</v>
      </c>
      <c r="D110" s="40" t="n">
        <v>3</v>
      </c>
      <c r="E110" s="41" t="inlineStr">
        <is>
          <t>산안법</t>
        </is>
      </c>
      <c r="F110" s="42" t="inlineStr">
        <is>
          <t>근골격계 질환</t>
        </is>
      </c>
      <c r="G110" s="46" t="inlineStr">
        <is>
          <t>3. 산업안전보건기준에 관한 규칙상 근골격계질환의 정의와 예방관리 프로그램 시행
사업장, 건설현장 근로자의 근골격계질환 예방대책에 대하여 설명하시오.</t>
        </is>
      </c>
      <c r="H110" s="30" t="n"/>
      <c r="I110" s="30" t="n"/>
      <c r="J110" s="30" t="n"/>
      <c r="K110" s="30" t="n"/>
      <c r="L110" s="30" t="n"/>
      <c r="M110" s="30" t="n"/>
      <c r="O110" s="30" t="n"/>
      <c r="P110" s="30" t="n"/>
    </row>
    <row r="111" ht="49.5" customFormat="1" customHeight="1" s="31">
      <c r="A111" s="64" t="n"/>
      <c r="B111" s="127" t="n">
        <v>135</v>
      </c>
      <c r="C111" s="128" t="n">
        <v>2</v>
      </c>
      <c r="D111" s="40" t="n">
        <v>4</v>
      </c>
      <c r="E111" s="41" t="inlineStr">
        <is>
          <t>산안법</t>
        </is>
      </c>
      <c r="F111" s="42" t="inlineStr">
        <is>
          <t>안전보건교육</t>
        </is>
      </c>
      <c r="G111" s="46" t="inlineStr">
        <is>
          <t>4. 건설현장에서 실시하는 안전보건교육 중 정기교육과 작업내용 변경 시 교육에 대하여
근로자와 관리감독자로 구분하여 교육대상별 교육시간을 제시하고 안전보건교육 강사
기준에 대하여 설명하시오.</t>
        </is>
      </c>
      <c r="H111" s="30" t="n"/>
      <c r="I111" s="30" t="n"/>
      <c r="J111" s="30" t="n"/>
      <c r="K111" s="30" t="n"/>
      <c r="L111" s="30" t="n"/>
      <c r="M111" s="30" t="n"/>
      <c r="O111" s="30" t="n"/>
      <c r="P111" s="30" t="n"/>
    </row>
    <row r="112" customFormat="1" s="31">
      <c r="A112" s="64" t="n"/>
      <c r="B112" s="127" t="n">
        <v>135</v>
      </c>
      <c r="C112" s="128" t="n">
        <v>2</v>
      </c>
      <c r="D112" s="40" t="n">
        <v>5</v>
      </c>
      <c r="E112" s="41" t="inlineStr">
        <is>
          <t>안전관리론</t>
        </is>
      </c>
      <c r="F112" s="42" t="inlineStr">
        <is>
          <t>동기부여</t>
        </is>
      </c>
      <c r="G112" s="46" t="inlineStr">
        <is>
          <t>5. 동기부여(Motivation) 이론 중 5가지만 설명하시오.</t>
        </is>
      </c>
      <c r="H112" s="30" t="n"/>
      <c r="I112" s="30" t="n"/>
      <c r="J112" s="30" t="n"/>
      <c r="K112" s="30" t="n"/>
      <c r="L112" s="30" t="n"/>
      <c r="M112" s="30" t="n"/>
      <c r="O112" s="30" t="n"/>
      <c r="P112" s="30" t="n"/>
    </row>
    <row r="113" ht="33" customFormat="1" customHeight="1" s="31">
      <c r="A113" s="64" t="n"/>
      <c r="B113" s="127" t="n">
        <v>135</v>
      </c>
      <c r="C113" s="128" t="n">
        <v>2</v>
      </c>
      <c r="D113" s="40" t="n">
        <v>6</v>
      </c>
      <c r="E113" s="41" t="inlineStr">
        <is>
          <t>콘크리트</t>
        </is>
      </c>
      <c r="F113" s="42" t="inlineStr">
        <is>
          <t>데크플레이트</t>
        </is>
      </c>
      <c r="G113" s="46" t="inlineStr">
        <is>
          <t>6. 데크플레이트 시공 시 발생하는 재해유형별 안전대책, 붕괴사고의 문제점 및 개선방안에
대하여 설명하시오.</t>
        </is>
      </c>
      <c r="H113" s="30" t="n"/>
      <c r="I113" s="30" t="n"/>
      <c r="J113" s="30" t="n"/>
      <c r="K113" s="30" t="n"/>
      <c r="L113" s="30" t="n"/>
      <c r="M113" s="30" t="n"/>
      <c r="O113" s="30" t="n"/>
      <c r="P113" s="30" t="n"/>
    </row>
    <row r="114" ht="33" customFormat="1" customHeight="1" s="31">
      <c r="A114" s="64" t="n"/>
      <c r="B114" s="127" t="n">
        <v>135</v>
      </c>
      <c r="C114" s="128" t="n">
        <v>3</v>
      </c>
      <c r="D114" s="40" t="n">
        <v>1</v>
      </c>
      <c r="E114" s="41" t="inlineStr">
        <is>
          <t>건설기계</t>
        </is>
      </c>
      <c r="F114" s="42" t="inlineStr">
        <is>
          <t>타워크레인</t>
        </is>
      </c>
      <c r="G114" s="46" t="inlineStr">
        <is>
          <t>1. T/C(Tower Crane) 작업내용(설치, 상승, 해체)별 주요 재해발생 원인, T/C 주요
안전장치의 종류 및 기능, T/C 구성 부위별 안전검토사항에 대하여 설명하시오.</t>
        </is>
      </c>
      <c r="H114" s="30" t="n"/>
      <c r="I114" s="30" t="n"/>
      <c r="J114" s="30" t="n"/>
      <c r="K114" s="30" t="n"/>
      <c r="L114" s="30" t="n"/>
      <c r="M114" s="30" t="n"/>
      <c r="O114" s="30" t="n"/>
      <c r="P114" s="30" t="n"/>
    </row>
    <row r="115" ht="33" customFormat="1" customHeight="1" s="31">
      <c r="A115" s="64" t="n"/>
      <c r="B115" s="127" t="n">
        <v>135</v>
      </c>
      <c r="C115" s="128" t="n">
        <v>3</v>
      </c>
      <c r="D115" s="40" t="n">
        <v>2</v>
      </c>
      <c r="E115" s="41" t="inlineStr">
        <is>
          <t>산안법</t>
        </is>
      </c>
      <c r="F115" s="42" t="inlineStr">
        <is>
          <t>산업안전보건관리비</t>
        </is>
      </c>
      <c r="G115" s="46" t="inlineStr">
        <is>
          <t>2. 건설업 산업안전보건관리비 계상 및 사용기준에서 정하는 공사 종류 및 규모별 계상
기준과 설계변경 시 산업안전보건관리비 조정ㆍ계상 방법에 대하여 설명하시오.</t>
        </is>
      </c>
      <c r="H115" s="30" t="n"/>
      <c r="I115" s="30" t="n"/>
      <c r="J115" s="30" t="n"/>
      <c r="K115" s="30" t="n"/>
      <c r="L115" s="30" t="n"/>
      <c r="M115" s="30" t="n"/>
      <c r="O115" s="30" t="n"/>
      <c r="P115" s="30" t="n"/>
    </row>
    <row r="116" ht="49.5" customFormat="1" customHeight="1" s="31">
      <c r="A116" s="64" t="n"/>
      <c r="B116" s="127" t="n">
        <v>135</v>
      </c>
      <c r="C116" s="128" t="n">
        <v>3</v>
      </c>
      <c r="D116" s="40" t="n">
        <v>3</v>
      </c>
      <c r="E116" s="41" t="inlineStr">
        <is>
          <t>안전관리론</t>
        </is>
      </c>
      <c r="F116" s="42" t="inlineStr">
        <is>
          <t>휴먼에러</t>
        </is>
      </c>
      <c r="G116" s="46" t="inlineStr">
        <is>
          <t>3. 최근에 건설현장의 근로자가 고령화되면서 근로자 개개인의 의식에서 발생하는 휴먼
에러(Human Error)에 대한 배후요인, 내적요인과 외적요인, 위험성에 대한 안전대책에
대하여 설명하시오.</t>
        </is>
      </c>
      <c r="H116" s="30" t="n"/>
      <c r="I116" s="30" t="n"/>
      <c r="J116" s="30" t="n"/>
      <c r="K116" s="30" t="n"/>
      <c r="L116" s="30" t="n"/>
      <c r="M116" s="30" t="n"/>
      <c r="O116" s="30" t="n"/>
      <c r="P116" s="30" t="n"/>
    </row>
    <row r="117" ht="33" customFormat="1" customHeight="1" s="31">
      <c r="A117" s="64" t="n"/>
      <c r="B117" s="127" t="n">
        <v>135</v>
      </c>
      <c r="C117" s="128" t="n">
        <v>3</v>
      </c>
      <c r="D117" s="40" t="n">
        <v>4</v>
      </c>
      <c r="E117" s="41" t="inlineStr">
        <is>
          <t>시설물안전법</t>
        </is>
      </c>
      <c r="F117" s="42" t="inlineStr">
        <is>
          <t>안전점검</t>
        </is>
      </c>
      <c r="G117" s="46" t="inlineStr">
        <is>
          <t>4. 시설물의 안전 및 유지관리 실시 등에 관한 지침상 점검의 대상 시설물과 안전점검 등
실시 시기, 실시자 자격, 시설물의 안전점검 등 주요 과업내용에 대하여 설명하시오</t>
        </is>
      </c>
      <c r="H117" s="30" t="n"/>
      <c r="I117" s="30" t="n"/>
      <c r="J117" s="30" t="n"/>
      <c r="K117" s="30" t="n"/>
      <c r="L117" s="30" t="n"/>
      <c r="M117" s="30" t="n"/>
      <c r="O117" s="30" t="n"/>
      <c r="P117" s="30" t="n"/>
    </row>
    <row r="118" customFormat="1" s="31">
      <c r="A118" s="64" t="n"/>
      <c r="B118" s="127" t="n">
        <v>135</v>
      </c>
      <c r="C118" s="128" t="n">
        <v>3</v>
      </c>
      <c r="D118" s="40" t="n">
        <v>5</v>
      </c>
      <c r="E118" s="41" t="inlineStr">
        <is>
          <t>터널</t>
        </is>
      </c>
      <c r="F118" s="42" t="inlineStr">
        <is>
          <t>터널 붕괴</t>
        </is>
      </c>
      <c r="G118" s="46" t="inlineStr">
        <is>
          <t>5. 터널 굴착 공사에서 지반 붕괴 사고 발생 원인과 위험 관리 방안에 대하여 설명하시오.</t>
        </is>
      </c>
      <c r="H118" s="30" t="n"/>
      <c r="I118" s="30" t="n"/>
      <c r="J118" s="30" t="n"/>
      <c r="K118" s="30" t="n"/>
      <c r="L118" s="30" t="n"/>
      <c r="M118" s="30" t="n"/>
      <c r="O118" s="30" t="n"/>
      <c r="P118" s="30" t="n"/>
    </row>
    <row r="119" ht="49.5" customFormat="1" customHeight="1" s="31">
      <c r="A119" s="64" t="n"/>
      <c r="B119" s="127" t="n">
        <v>135</v>
      </c>
      <c r="C119" s="128" t="n">
        <v>3</v>
      </c>
      <c r="D119" s="40" t="n">
        <v>6</v>
      </c>
      <c r="E119" s="41" t="inlineStr">
        <is>
          <t>콘크리트</t>
        </is>
      </c>
      <c r="F119" s="42" t="inlineStr">
        <is>
          <t>한중콘크리트</t>
        </is>
      </c>
      <c r="G119" s="46" t="inlineStr">
        <is>
          <t>6. 한중 콘크리트 타설, 초기양생 시 준수사항에 대하여 설명하고, 갈탄난로를 사용하여
콘크리트를 양생하는 경우 「산업안전보건기준에 관한 규칙」상 작업관리 및 사고 시의
조치 사항에 대하여 설명하시오.</t>
        </is>
      </c>
      <c r="H119" s="30" t="n"/>
      <c r="I119" s="30" t="n"/>
      <c r="J119" s="30" t="n"/>
      <c r="K119" s="30" t="n"/>
      <c r="L119" s="30" t="n"/>
      <c r="M119" s="30" t="n"/>
      <c r="O119" s="30" t="n"/>
      <c r="P119" s="30" t="n"/>
    </row>
    <row r="120" ht="33" customFormat="1" customHeight="1" s="31">
      <c r="A120" s="64" t="n"/>
      <c r="B120" s="127" t="n">
        <v>135</v>
      </c>
      <c r="C120" s="128" t="n">
        <v>4</v>
      </c>
      <c r="D120" s="40" t="n">
        <v>1</v>
      </c>
      <c r="E120" s="41" t="inlineStr">
        <is>
          <t>산안법</t>
        </is>
      </c>
      <c r="F120" s="42" t="inlineStr">
        <is>
          <t>소음</t>
        </is>
      </c>
      <c r="G120" s="46" t="inlineStr">
        <is>
          <t>1. 건설공사 현장에서 소음이 인체에 미치는 영향, 소음의 허용기준 및 소음예방대책에
대하여 설명하시오.</t>
        </is>
      </c>
      <c r="H120" s="30" t="n"/>
      <c r="I120" s="30" t="n"/>
      <c r="J120" s="30" t="n"/>
      <c r="K120" s="30" t="n"/>
      <c r="L120" s="30" t="n"/>
      <c r="M120" s="30" t="n"/>
      <c r="O120" s="30" t="n"/>
      <c r="P120" s="30" t="n"/>
    </row>
    <row r="121" ht="33" customFormat="1" customHeight="1" s="31">
      <c r="A121" s="64" t="n"/>
      <c r="B121" s="127" t="n">
        <v>135</v>
      </c>
      <c r="C121" s="128" t="n">
        <v>4</v>
      </c>
      <c r="D121" s="40" t="n">
        <v>2</v>
      </c>
      <c r="E121" s="41" t="inlineStr">
        <is>
          <t>안전관리론</t>
        </is>
      </c>
      <c r="F121" s="42" t="inlineStr">
        <is>
          <t>재해빈발자</t>
        </is>
      </c>
      <c r="G121" s="46" t="inlineStr">
        <is>
          <t>2. 재해빈발자(사고자) 4가지 유형과 무사고자의 특징, 건설현장에서의 재해빈발자에 대한
예방대책을 설명하시오.</t>
        </is>
      </c>
      <c r="H121" s="30" t="n"/>
      <c r="I121" s="30" t="n"/>
      <c r="J121" s="30" t="n"/>
      <c r="K121" s="30" t="n"/>
      <c r="L121" s="30" t="n"/>
      <c r="M121" s="30" t="n"/>
      <c r="O121" s="30" t="n"/>
      <c r="P121" s="30" t="n"/>
    </row>
    <row r="122" ht="33" customFormat="1" customHeight="1" s="31">
      <c r="A122" s="64" t="n"/>
      <c r="B122" s="127" t="n">
        <v>135</v>
      </c>
      <c r="C122" s="128" t="n">
        <v>4</v>
      </c>
      <c r="D122" s="40" t="n">
        <v>3</v>
      </c>
      <c r="E122" s="41" t="inlineStr">
        <is>
          <t>건설기계</t>
        </is>
      </c>
      <c r="F122" s="42" t="inlineStr">
        <is>
          <t>지게차</t>
        </is>
      </c>
      <c r="G122" s="46" t="inlineStr">
        <is>
          <t>3. 건설기계 중 화물을 적재ㆍ하차 시 사용되는 지게차의 유해 위험요인 및 예방 대책과
작업단계별 안전점검사항에 대하여 설명하시오.</t>
        </is>
      </c>
      <c r="H122" s="30" t="n"/>
      <c r="I122" s="30" t="n"/>
      <c r="J122" s="30" t="n"/>
      <c r="K122" s="30" t="n"/>
      <c r="L122" s="30" t="n"/>
      <c r="M122" s="30" t="n"/>
      <c r="O122" s="30" t="n"/>
      <c r="P122" s="30" t="n"/>
    </row>
    <row r="123" ht="33" customFormat="1" customHeight="1" s="31">
      <c r="A123" s="64" t="n"/>
      <c r="B123" s="127" t="n">
        <v>135</v>
      </c>
      <c r="C123" s="128" t="n">
        <v>4</v>
      </c>
      <c r="D123" s="40" t="n">
        <v>4</v>
      </c>
      <c r="E123" s="41" t="inlineStr">
        <is>
          <t>산안법</t>
        </is>
      </c>
      <c r="F123" s="42" t="inlineStr">
        <is>
          <t>건강진단</t>
        </is>
      </c>
      <c r="G123" s="46" t="inlineStr">
        <is>
          <t>4. 사업주가 근로자의 건강관리를 위하여 실시해야 하는 건강진단 종류, 종류별 실시 대상,
주기 및 사업주의 의무, 근로자의 의무에 대하여 설명하시오.</t>
        </is>
      </c>
      <c r="H123" s="30" t="n"/>
      <c r="I123" s="30" t="n"/>
      <c r="J123" s="30" t="n"/>
      <c r="K123" s="30" t="n"/>
      <c r="L123" s="30" t="n"/>
      <c r="M123" s="30" t="n"/>
      <c r="O123" s="30" t="n"/>
      <c r="P123" s="30" t="n"/>
    </row>
    <row r="124" ht="49.5" customFormat="1" customHeight="1" s="31">
      <c r="A124" s="64" t="n"/>
      <c r="B124" s="127" t="n">
        <v>135</v>
      </c>
      <c r="C124" s="128" t="n">
        <v>4</v>
      </c>
      <c r="D124" s="40" t="n">
        <v>5</v>
      </c>
      <c r="E124" s="41" t="inlineStr">
        <is>
          <t>산안법</t>
        </is>
      </c>
      <c r="F124" s="42" t="inlineStr">
        <is>
          <t>안전보건대장</t>
        </is>
      </c>
      <c r="G124" s="46" t="inlineStr">
        <is>
          <t>5. 발주자의 산업재해예방조치에서 안전보건대장 작성 대상 건설공사 및 계획 단계,
설계단계, 시공단계별 발주자의 역할과 각 단계별 작성항목과 주요 내용에 대하여
설명하시오.</t>
        </is>
      </c>
      <c r="H124" s="30" t="n"/>
      <c r="I124" s="30" t="n"/>
      <c r="J124" s="30" t="n"/>
      <c r="K124" s="30" t="n"/>
      <c r="L124" s="30" t="n"/>
      <c r="M124" s="30" t="n"/>
      <c r="O124" s="30" t="n"/>
      <c r="P124" s="30" t="n"/>
    </row>
    <row r="125" ht="66" customFormat="1" customHeight="1" s="31">
      <c r="A125" s="64" t="n"/>
      <c r="B125" s="127" t="n">
        <v>135</v>
      </c>
      <c r="C125" s="128" t="n">
        <v>4</v>
      </c>
      <c r="D125" s="40" t="n">
        <v>6</v>
      </c>
      <c r="E125" s="41" t="inlineStr">
        <is>
          <t>해체공사</t>
        </is>
      </c>
      <c r="F125" s="42" t="inlineStr">
        <is>
          <t>해체공법</t>
        </is>
      </c>
      <c r="G125" s="46" t="inlineStr">
        <is>
          <t>6. 도심지 건축물 해체공사 시 ①해체공법 종류 및 해체 방법, ②해체 시 사전 조사사항
③구조안전계획 및 분야별(해체작업자 안전관리, 해체 잔재물 낙하 등에 대한
출입통제관리, 인접구축물 안전관리, 주변 통행ㆍ보행자 안전관리, 화재 등 비상상황
발생 시 안전관리) 안전계획 수립 시 검토사항에 대하여 설명하시오.</t>
        </is>
      </c>
      <c r="H125" s="30" t="n"/>
      <c r="I125" s="30" t="n"/>
      <c r="J125" s="30" t="n"/>
      <c r="K125" s="30" t="n"/>
      <c r="L125" s="30" t="n"/>
      <c r="M125" s="30" t="n"/>
      <c r="O125" s="30" t="n"/>
      <c r="P125" s="30" t="n"/>
    </row>
    <row r="126" customFormat="1" s="31">
      <c r="A126" s="25" t="n"/>
      <c r="B126" s="133" t="n">
        <v>134</v>
      </c>
      <c r="C126" s="134" t="n">
        <v>1</v>
      </c>
      <c r="D126" s="69" t="n">
        <v>1</v>
      </c>
      <c r="E126" s="70" t="inlineStr">
        <is>
          <t>산안법</t>
        </is>
      </c>
      <c r="F126" s="71" t="inlineStr">
        <is>
          <t>화재감시자</t>
        </is>
      </c>
      <c r="G126" s="72" t="inlineStr">
        <is>
          <t>1. 화재감시자를 지정하여 배치해야 하는 장소, 업무, 지급해야할 장비</t>
        </is>
      </c>
      <c r="H126" s="30" t="n"/>
      <c r="I126" s="30" t="n"/>
      <c r="J126" s="30" t="n"/>
      <c r="K126" s="30" t="n"/>
      <c r="L126" s="30" t="n"/>
      <c r="M126" s="30" t="n"/>
      <c r="O126" s="30" t="n"/>
      <c r="P126" s="30" t="n"/>
    </row>
    <row r="127" customFormat="1" s="31">
      <c r="A127" s="25" t="n"/>
      <c r="B127" s="133" t="n">
        <v>134</v>
      </c>
      <c r="C127" s="134" t="n">
        <v>1</v>
      </c>
      <c r="D127" s="69" t="n">
        <v>2</v>
      </c>
      <c r="E127" s="70" t="inlineStr">
        <is>
          <t>산안법</t>
        </is>
      </c>
      <c r="F127" s="71" t="inlineStr">
        <is>
          <t>사고와 재해</t>
        </is>
      </c>
      <c r="G127" s="72" t="inlineStr">
        <is>
          <t>2. 안전사고와 재해</t>
        </is>
      </c>
      <c r="H127" s="30" t="n"/>
      <c r="I127" s="30" t="n"/>
      <c r="J127" s="30" t="n"/>
      <c r="K127" s="30" t="n"/>
      <c r="L127" s="30" t="n"/>
      <c r="M127" s="30" t="n"/>
      <c r="O127" s="30" t="n"/>
      <c r="P127" s="30" t="n"/>
    </row>
    <row r="128" customFormat="1" s="31">
      <c r="A128" s="25" t="n"/>
      <c r="B128" s="133" t="n">
        <v>134</v>
      </c>
      <c r="C128" s="134" t="n">
        <v>1</v>
      </c>
      <c r="D128" s="69" t="n">
        <v>3</v>
      </c>
      <c r="E128" s="70" t="inlineStr">
        <is>
          <t>산안법</t>
        </is>
      </c>
      <c r="F128" s="71" t="inlineStr">
        <is>
          <t>사전조사 및 작업계획서</t>
        </is>
      </c>
      <c r="G128" s="72" t="inlineStr">
        <is>
          <t>3. 사전조사 및 작업계획서를 작성해야 하는 작업의 종류</t>
        </is>
      </c>
      <c r="H128" s="30" t="n"/>
      <c r="I128" s="30" t="n"/>
      <c r="J128" s="30" t="n"/>
      <c r="K128" s="30" t="n"/>
      <c r="L128" s="30" t="n"/>
      <c r="M128" s="30" t="n"/>
      <c r="O128" s="30" t="n"/>
      <c r="P128" s="30" t="n"/>
    </row>
    <row r="129" customFormat="1" s="31">
      <c r="A129" s="25" t="n"/>
      <c r="B129" s="133" t="n">
        <v>134</v>
      </c>
      <c r="C129" s="134" t="n">
        <v>1</v>
      </c>
      <c r="D129" s="69" t="n">
        <v>4</v>
      </c>
      <c r="E129" s="70" t="inlineStr">
        <is>
          <t>산안법</t>
        </is>
      </c>
      <c r="F129" s="71" t="inlineStr">
        <is>
          <t>양중기 방호장치</t>
        </is>
      </c>
      <c r="G129" s="72" t="inlineStr">
        <is>
          <t>4. 산업안전보건법 상 양중기의 종류</t>
        </is>
      </c>
      <c r="H129" s="30" t="n"/>
      <c r="I129" s="30" t="n"/>
      <c r="J129" s="30" t="n"/>
      <c r="K129" s="30" t="n"/>
      <c r="L129" s="30" t="n"/>
      <c r="M129" s="30" t="n"/>
      <c r="O129" s="30" t="n"/>
      <c r="P129" s="30" t="n"/>
    </row>
    <row r="130" customFormat="1" s="31">
      <c r="A130" s="25" t="n"/>
      <c r="B130" s="133" t="n">
        <v>134</v>
      </c>
      <c r="C130" s="134" t="n">
        <v>1</v>
      </c>
      <c r="D130" s="69" t="n">
        <v>5</v>
      </c>
      <c r="E130" s="70" t="inlineStr">
        <is>
          <t>안전관리론</t>
        </is>
      </c>
      <c r="F130" s="71" t="inlineStr">
        <is>
          <t>안전설계기법</t>
        </is>
      </c>
      <c r="G130" s="72" t="inlineStr">
        <is>
          <t>5. 안전설계기법의 종류와  Fool Proof의 중요기구</t>
        </is>
      </c>
      <c r="H130" s="30" t="n"/>
      <c r="I130" s="30" t="n"/>
      <c r="J130" s="30" t="n"/>
      <c r="K130" s="30" t="n"/>
      <c r="L130" s="30" t="n"/>
      <c r="M130" s="30" t="n"/>
      <c r="O130" s="30" t="n"/>
      <c r="P130" s="30" t="n"/>
    </row>
    <row r="131" customFormat="1" s="31">
      <c r="A131" s="25" t="n"/>
      <c r="B131" s="133" t="n">
        <v>134</v>
      </c>
      <c r="C131" s="134" t="n">
        <v>1</v>
      </c>
      <c r="D131" s="69" t="n">
        <v>6</v>
      </c>
      <c r="E131" s="70" t="inlineStr">
        <is>
          <t>해체공사</t>
        </is>
      </c>
      <c r="F131" s="71" t="inlineStr">
        <is>
          <t>건축물 해체 신고 허가</t>
        </is>
      </c>
      <c r="G131" s="72" t="inlineStr">
        <is>
          <t>6. 건축물 해체의 신고 및 허가절차</t>
        </is>
      </c>
      <c r="H131" s="30" t="n"/>
      <c r="I131" s="30" t="n"/>
      <c r="J131" s="30" t="n"/>
      <c r="K131" s="30" t="n"/>
      <c r="L131" s="30" t="n"/>
      <c r="M131" s="30" t="n"/>
      <c r="O131" s="30" t="n"/>
      <c r="P131" s="30" t="n"/>
    </row>
    <row r="132" customFormat="1" s="31">
      <c r="A132" s="25" t="n"/>
      <c r="B132" s="133" t="n">
        <v>134</v>
      </c>
      <c r="C132" s="134" t="n">
        <v>1</v>
      </c>
      <c r="D132" s="69" t="n">
        <v>7</v>
      </c>
      <c r="E132" s="70" t="inlineStr">
        <is>
          <t>안전관리론</t>
        </is>
      </c>
      <c r="F132" s="71" t="inlineStr">
        <is>
          <t>착각현상</t>
        </is>
      </c>
      <c r="G132" s="72" t="inlineStr">
        <is>
          <t>7. 착각현상</t>
        </is>
      </c>
      <c r="H132" s="30" t="n"/>
      <c r="I132" s="30" t="n"/>
      <c r="J132" s="30" t="n"/>
      <c r="K132" s="30" t="n"/>
      <c r="L132" s="30" t="n"/>
      <c r="M132" s="30" t="n"/>
      <c r="O132" s="30" t="n"/>
      <c r="P132" s="30" t="n"/>
    </row>
    <row r="133" customFormat="1" s="31">
      <c r="A133" s="25" t="n"/>
      <c r="B133" s="133" t="n">
        <v>134</v>
      </c>
      <c r="C133" s="134" t="n">
        <v>1</v>
      </c>
      <c r="D133" s="69" t="n">
        <v>8</v>
      </c>
      <c r="E133" s="70" t="inlineStr">
        <is>
          <t>산안법</t>
        </is>
      </c>
      <c r="F133" s="71" t="inlineStr">
        <is>
          <t>와이어로프</t>
        </is>
      </c>
      <c r="G133" s="72" t="inlineStr">
        <is>
          <t>8. 와이어로프 등 달기구의 안전계수 및 와이어로프 폐기기준</t>
        </is>
      </c>
      <c r="H133" s="30" t="n"/>
      <c r="I133" s="30" t="n"/>
      <c r="J133" s="30" t="n"/>
      <c r="K133" s="30" t="n"/>
      <c r="L133" s="30" t="n"/>
      <c r="M133" s="30" t="n"/>
      <c r="O133" s="30" t="n"/>
      <c r="P133" s="30" t="n"/>
    </row>
    <row r="134" customFormat="1" s="31">
      <c r="A134" s="25" t="n"/>
      <c r="B134" s="133" t="n">
        <v>134</v>
      </c>
      <c r="C134" s="134" t="n">
        <v>1</v>
      </c>
      <c r="D134" s="69" t="n">
        <v>9</v>
      </c>
      <c r="E134" s="70" t="inlineStr">
        <is>
          <t>건진법</t>
        </is>
      </c>
      <c r="F134" s="71" t="inlineStr">
        <is>
          <t>안전교육</t>
        </is>
      </c>
      <c r="G134" s="72" t="inlineStr">
        <is>
          <t>9. 건설기술 진흥법상 안전교육 대상, 교육내용 및 실시 주체</t>
        </is>
      </c>
      <c r="H134" s="30" t="n"/>
      <c r="I134" s="30" t="n"/>
      <c r="J134" s="30" t="n"/>
      <c r="K134" s="30" t="n"/>
      <c r="L134" s="30" t="n"/>
      <c r="M134" s="30" t="n"/>
      <c r="O134" s="30" t="n"/>
      <c r="P134" s="30" t="n"/>
    </row>
    <row r="135" customFormat="1" s="31">
      <c r="A135" s="25" t="n"/>
      <c r="B135" s="133" t="n">
        <v>134</v>
      </c>
      <c r="C135" s="134" t="n">
        <v>1</v>
      </c>
      <c r="D135" s="69" t="n">
        <v>10</v>
      </c>
      <c r="E135" s="70" t="inlineStr">
        <is>
          <t>강재</t>
        </is>
      </c>
      <c r="F135" s="71" t="inlineStr">
        <is>
          <t>취성 연성</t>
        </is>
      </c>
      <c r="G135" s="72" t="inlineStr">
        <is>
          <t>10. 강재의 취성과 연성</t>
        </is>
      </c>
      <c r="H135" s="30" t="n"/>
      <c r="I135" s="30" t="n"/>
      <c r="J135" s="30" t="n"/>
      <c r="K135" s="30" t="n"/>
      <c r="L135" s="30" t="n"/>
      <c r="M135" s="30" t="n"/>
      <c r="O135" s="30" t="n"/>
      <c r="P135" s="30" t="n"/>
    </row>
    <row r="136" customFormat="1" s="31">
      <c r="A136" s="25" t="n"/>
      <c r="B136" s="133" t="n">
        <v>134</v>
      </c>
      <c r="C136" s="134" t="n">
        <v>1</v>
      </c>
      <c r="D136" s="69" t="n">
        <v>11</v>
      </c>
      <c r="E136" s="70" t="inlineStr">
        <is>
          <t>가설공사</t>
        </is>
      </c>
      <c r="F136" s="71" t="inlineStr">
        <is>
          <t>비계 벽이음</t>
        </is>
      </c>
      <c r="G136" s="72" t="inlineStr">
        <is>
          <t>11. 가설구조물 비계의 종류 및 벽이음</t>
        </is>
      </c>
      <c r="H136" s="30" t="n"/>
      <c r="I136" s="30" t="n"/>
      <c r="J136" s="30" t="n"/>
      <c r="K136" s="30" t="n"/>
      <c r="L136" s="30" t="n"/>
      <c r="M136" s="30" t="n"/>
      <c r="O136" s="30" t="n"/>
      <c r="P136" s="30" t="n"/>
    </row>
    <row r="137" customFormat="1" s="31">
      <c r="A137" s="25" t="n"/>
      <c r="B137" s="133" t="n">
        <v>134</v>
      </c>
      <c r="C137" s="134" t="n">
        <v>1</v>
      </c>
      <c r="D137" s="69" t="n">
        <v>12</v>
      </c>
      <c r="E137" s="70" t="inlineStr">
        <is>
          <t>콘크리트</t>
        </is>
      </c>
      <c r="F137" s="71" t="inlineStr">
        <is>
          <t>재료분리</t>
        </is>
      </c>
      <c r="G137" s="72" t="inlineStr">
        <is>
          <t>12. 굳지 않은 콘크리트의 재료분리 원인 및 대책</t>
        </is>
      </c>
      <c r="H137" s="30" t="n"/>
      <c r="I137" s="30" t="n"/>
      <c r="J137" s="30" t="n"/>
      <c r="K137" s="30" t="n"/>
      <c r="L137" s="30" t="n"/>
      <c r="M137" s="30" t="n"/>
      <c r="O137" s="30" t="n"/>
      <c r="P137" s="30" t="n"/>
    </row>
    <row r="138" customFormat="1" s="31">
      <c r="A138" s="25" t="n"/>
      <c r="B138" s="133" t="n">
        <v>134</v>
      </c>
      <c r="C138" s="134" t="n">
        <v>1</v>
      </c>
      <c r="D138" s="69" t="n">
        <v>13</v>
      </c>
      <c r="E138" s="70" t="inlineStr">
        <is>
          <t>기초</t>
        </is>
      </c>
      <c r="F138" s="71" t="inlineStr">
        <is>
          <t>옹벽</t>
        </is>
      </c>
      <c r="G138" s="72" t="inlineStr">
        <is>
          <t>13. 옹벽에 작용하는 토압 및 옹벽의 안정조건</t>
        </is>
      </c>
      <c r="H138" s="30" t="n"/>
      <c r="I138" s="30" t="n"/>
      <c r="J138" s="30" t="n"/>
      <c r="K138" s="30" t="n"/>
      <c r="L138" s="30" t="n"/>
      <c r="M138" s="30" t="n"/>
      <c r="O138" s="30" t="n"/>
      <c r="P138" s="30" t="n"/>
    </row>
    <row r="139" customFormat="1" s="31">
      <c r="A139" s="25" t="n"/>
      <c r="B139" s="133" t="n">
        <v>134</v>
      </c>
      <c r="C139" s="134" t="n">
        <v>2</v>
      </c>
      <c r="D139" s="69" t="n">
        <v>1</v>
      </c>
      <c r="E139" s="70" t="inlineStr">
        <is>
          <t>콘크리트</t>
        </is>
      </c>
      <c r="F139" s="71" t="inlineStr">
        <is>
          <t>균열과 열화</t>
        </is>
      </c>
      <c r="G139" s="72" t="inlineStr">
        <is>
          <t>1. 콘크리트 균열의 발생 원인, 대책 및 보수.보강 공법에 대하여 설명하시오</t>
        </is>
      </c>
      <c r="H139" s="30" t="n"/>
      <c r="I139" s="30" t="n"/>
      <c r="J139" s="30" t="n"/>
      <c r="K139" s="30" t="n"/>
      <c r="L139" s="30" t="n"/>
      <c r="M139" s="30" t="n"/>
      <c r="O139" s="30" t="n"/>
      <c r="P139" s="30" t="n"/>
    </row>
    <row r="140">
      <c r="A140" s="11" t="n"/>
      <c r="B140" s="133" t="n">
        <v>134</v>
      </c>
      <c r="C140" s="134" t="n">
        <v>2</v>
      </c>
      <c r="D140" s="69" t="n">
        <v>2</v>
      </c>
      <c r="E140" s="70" t="inlineStr">
        <is>
          <t>산안법</t>
        </is>
      </c>
      <c r="F140" s="71" t="inlineStr">
        <is>
          <t>위험성 평가</t>
        </is>
      </c>
      <c r="G140" s="72" t="inlineStr">
        <is>
          <t>2. 건설현장에서 시행하고 있는 위험성평가 방법과 그 종류 및 절차에 대하여 설명하시오</t>
        </is>
      </c>
      <c r="N140" s="109" t="n"/>
    </row>
    <row r="141" ht="33" customHeight="1" s="77">
      <c r="A141" s="11" t="n"/>
      <c r="B141" s="133" t="n">
        <v>134</v>
      </c>
      <c r="C141" s="134" t="n">
        <v>2</v>
      </c>
      <c r="D141" s="69" t="n">
        <v>3</v>
      </c>
      <c r="E141" s="70" t="inlineStr">
        <is>
          <t>산안법</t>
        </is>
      </c>
      <c r="F141" s="71" t="inlineStr">
        <is>
          <t>안전보건대장</t>
        </is>
      </c>
      <c r="G141" s="72" t="inlineStr">
        <is>
          <t>3. 산업안전보건법에서 정하는 건설공사 발주자의 산업재해 예방조치를 계획단계, 설계단계 및 시공단계로 구분하여 설명하고, 각단계별로 작성해야 하는 안전보건대장에 포함하여야 할 내용을 설명하시오</t>
        </is>
      </c>
      <c r="N141" s="109" t="n"/>
    </row>
    <row r="142">
      <c r="A142" s="11" t="n"/>
      <c r="B142" s="133" t="n">
        <v>134</v>
      </c>
      <c r="C142" s="134" t="n">
        <v>2</v>
      </c>
      <c r="D142" s="69" t="n">
        <v>4</v>
      </c>
      <c r="E142" s="70" t="inlineStr">
        <is>
          <t>지진</t>
        </is>
      </c>
      <c r="F142" s="71" t="inlineStr">
        <is>
          <t>교량내진성능</t>
        </is>
      </c>
      <c r="G142" s="72" t="inlineStr">
        <is>
          <t>4. 교량의 내진성능 평가 시 내진등급을 구분하고 내진성능 평가 방법에 대하여 설명하시오</t>
        </is>
      </c>
      <c r="N142" s="109" t="n"/>
    </row>
    <row r="143" ht="33" customHeight="1" s="77">
      <c r="A143" s="11" t="n"/>
      <c r="B143" s="133" t="n">
        <v>134</v>
      </c>
      <c r="C143" s="134" t="n">
        <v>2</v>
      </c>
      <c r="D143" s="69" t="n">
        <v>5</v>
      </c>
      <c r="E143" s="70" t="inlineStr">
        <is>
          <t>안전관리론</t>
        </is>
      </c>
      <c r="F143" s="71" t="inlineStr">
        <is>
          <t>재해조사 및 통계</t>
        </is>
      </c>
      <c r="G143" s="72" t="inlineStr">
        <is>
          <t>5. 재해조사 순서 4단계, 재해조사 방법 5가지, 재해조사 시 유의 사항, 재해조사 항목 및 재해발생시 응급 조치 사항에 대하여 설명하시오</t>
        </is>
      </c>
      <c r="N143" s="109" t="n"/>
    </row>
    <row r="144" ht="33" customHeight="1" s="77">
      <c r="A144" s="11" t="n"/>
      <c r="B144" s="133" t="n">
        <v>134</v>
      </c>
      <c r="C144" s="134" t="n">
        <v>2</v>
      </c>
      <c r="D144" s="69" t="n">
        <v>6</v>
      </c>
      <c r="E144" s="70" t="inlineStr">
        <is>
          <t>중대재해처벌법</t>
        </is>
      </c>
      <c r="F144" s="71" t="inlineStr">
        <is>
          <t>중대재해처벌법</t>
        </is>
      </c>
      <c r="G144" s="72" t="inlineStr">
        <is>
          <t>6. 중대재해 처벌 등에 관한 법률에 따른 사업주와 경영책임자 등의 안전보건 확보의무 4가지에 대하여 설명하시오</t>
        </is>
      </c>
      <c r="N144" s="109" t="n"/>
    </row>
    <row r="145">
      <c r="A145" s="11" t="n"/>
      <c r="B145" s="133" t="n">
        <v>134</v>
      </c>
      <c r="C145" s="134" t="n">
        <v>3</v>
      </c>
      <c r="D145" s="69" t="n">
        <v>1</v>
      </c>
      <c r="E145" s="70" t="inlineStr">
        <is>
          <t>콘크리트</t>
        </is>
      </c>
      <c r="F145" s="71" t="inlineStr">
        <is>
          <t>내구성</t>
        </is>
      </c>
      <c r="G145" s="72" t="inlineStr">
        <is>
          <t>1. 콘크리트 내구성 등급과 내구성 저하 원인 및 방지대책에 대하여 설명하시오</t>
        </is>
      </c>
      <c r="N145" s="109" t="n"/>
    </row>
    <row r="146">
      <c r="A146" s="11" t="n"/>
      <c r="B146" s="133" t="n">
        <v>134</v>
      </c>
      <c r="C146" s="134" t="n">
        <v>3</v>
      </c>
      <c r="D146" s="69" t="n">
        <v>2</v>
      </c>
      <c r="E146" s="70" t="inlineStr">
        <is>
          <t>산안법</t>
        </is>
      </c>
      <c r="F146" s="71" t="inlineStr">
        <is>
          <t>안전인증</t>
        </is>
      </c>
      <c r="G146" s="72" t="inlineStr">
        <is>
          <t>2. 건설용 유해.위험기계에 대한 안전조치 사항 중 방호조치, 안전인증 및 안전검사에 대하여 설명하시오</t>
        </is>
      </c>
      <c r="N146" s="109" t="n"/>
    </row>
    <row r="147" ht="33" customHeight="1" s="77">
      <c r="A147" s="11" t="n"/>
      <c r="B147" s="133" t="n">
        <v>134</v>
      </c>
      <c r="C147" s="134" t="n">
        <v>3</v>
      </c>
      <c r="D147" s="69" t="n">
        <v>3</v>
      </c>
      <c r="E147" s="70" t="inlineStr">
        <is>
          <t>산안법</t>
        </is>
      </c>
      <c r="F147" s="71" t="inlineStr">
        <is>
          <t>밀폐공간</t>
        </is>
      </c>
      <c r="G147" s="72" t="inlineStr">
        <is>
          <t>3. 건설공사 현장에서 밀폐공간작업시 산소농도 저하가 인체에 미치는 영향, 밀폐공간 작업 프로그램에 따른 안전절차 및 안전점검사항에 대하여 설명하시오</t>
        </is>
      </c>
      <c r="N147" s="109" t="n"/>
    </row>
    <row r="148" ht="33" customHeight="1" s="77">
      <c r="A148" s="11" t="n"/>
      <c r="B148" s="133" t="n">
        <v>134</v>
      </c>
      <c r="C148" s="134" t="n">
        <v>3</v>
      </c>
      <c r="D148" s="69" t="n">
        <v>4</v>
      </c>
      <c r="E148" s="70" t="inlineStr">
        <is>
          <t>산안법</t>
        </is>
      </c>
      <c r="F148" s="71" t="inlineStr">
        <is>
          <t>안전점검</t>
        </is>
      </c>
      <c r="G148" s="72" t="inlineStr">
        <is>
          <t>4. 산업안전보건법, 건설기술진흥법 및 시설물의 안전 및 유지관리에 관한 특별법에서 정의하는 안전점검의 목적 종류 및 점검 내용에 대하여 설명하시오</t>
        </is>
      </c>
      <c r="N148" s="109" t="n"/>
    </row>
    <row r="149">
      <c r="A149" s="11" t="n"/>
      <c r="B149" s="133" t="n">
        <v>134</v>
      </c>
      <c r="C149" s="134" t="n">
        <v>3</v>
      </c>
      <c r="D149" s="69" t="n">
        <v>5</v>
      </c>
      <c r="E149" s="70" t="inlineStr">
        <is>
          <t>안전관리론</t>
        </is>
      </c>
      <c r="F149" s="71" t="inlineStr">
        <is>
          <t>피로</t>
        </is>
      </c>
      <c r="G149" s="72" t="inlineStr">
        <is>
          <t>5. 피로로 인한 능률 저하의 유형, 피로의 원인과 대책에 대하여 설명하시오</t>
        </is>
      </c>
      <c r="N149" s="109" t="n"/>
    </row>
    <row r="150" ht="33" customHeight="1" s="77">
      <c r="A150" s="11" t="n"/>
      <c r="B150" s="133" t="n">
        <v>134</v>
      </c>
      <c r="C150" s="134" t="n">
        <v>3</v>
      </c>
      <c r="D150" s="69" t="n">
        <v>6</v>
      </c>
      <c r="E150" s="70" t="inlineStr">
        <is>
          <t>콘크리트</t>
        </is>
      </c>
      <c r="F150" s="71" t="inlineStr">
        <is>
          <t>거푸집 동바리</t>
        </is>
      </c>
      <c r="G150" s="72" t="inlineStr">
        <is>
          <t>6. 건설현장에서 거푸집 및 동바리 붕괴사고 예방을 위한 거푸집의 존치기간, 거푸집 및 동바리 해체 단계별 검토 사항, 공사 관계자별 주요 역할(책임)에 대하여 설명하시오</t>
        </is>
      </c>
      <c r="N150" s="109" t="n"/>
    </row>
    <row r="151" ht="33" customHeight="1" s="77">
      <c r="A151" s="11" t="n"/>
      <c r="B151" s="133" t="n">
        <v>134</v>
      </c>
      <c r="C151" s="134" t="n">
        <v>4</v>
      </c>
      <c r="D151" s="69" t="n">
        <v>1</v>
      </c>
      <c r="E151" s="70" t="inlineStr">
        <is>
          <t>토공</t>
        </is>
      </c>
      <c r="F151" s="71" t="inlineStr">
        <is>
          <t>굴착작성</t>
        </is>
      </c>
      <c r="G151" s="72" t="inlineStr">
        <is>
          <t>1. 건설현장에서 굴착작업 시 지반의 종류별 굴착면의 기울기 기준을 설명하고 굴착작업 계획수립 및 붕괴재해 예방대책에 대하여 설명하시오</t>
        </is>
      </c>
      <c r="N151" s="109" t="n"/>
    </row>
    <row r="152">
      <c r="A152" s="11" t="n"/>
      <c r="B152" s="133" t="n">
        <v>134</v>
      </c>
      <c r="C152" s="134" t="n">
        <v>4</v>
      </c>
      <c r="D152" s="69" t="n">
        <v>2</v>
      </c>
      <c r="E152" s="70" t="inlineStr">
        <is>
          <t>가설공사</t>
        </is>
      </c>
      <c r="F152" s="71" t="inlineStr">
        <is>
          <t>강관비계</t>
        </is>
      </c>
      <c r="G152" s="72" t="inlineStr">
        <is>
          <t>2. 강관비계의 설치기준과 조립, 해체 및 점검 시 준수사항에 대하여 설명하시오</t>
        </is>
      </c>
      <c r="N152" s="109" t="n"/>
    </row>
    <row r="153" ht="33" customHeight="1" s="77">
      <c r="A153" s="11" t="n"/>
      <c r="B153" s="133" t="n">
        <v>134</v>
      </c>
      <c r="C153" s="134" t="n">
        <v>4</v>
      </c>
      <c r="D153" s="69" t="n">
        <v>3</v>
      </c>
      <c r="E153" s="70" t="inlineStr">
        <is>
          <t>토공</t>
        </is>
      </c>
      <c r="F153" s="71" t="inlineStr">
        <is>
          <t>발파</t>
        </is>
      </c>
      <c r="G153" s="72" t="inlineStr">
        <is>
          <t>3. 건설현장 발파작업 시 발파책임자의 업무와 화약류 취급소 운용시 안전준수사항, 전기 발파와 비전기발파, 전자발파의 안전기준 및 천공작업시 준수사항에 대하여 설명하시오</t>
        </is>
      </c>
      <c r="N153" s="109" t="n"/>
    </row>
    <row r="154" ht="33" customHeight="1" s="77">
      <c r="A154" s="11" t="n"/>
      <c r="B154" s="133" t="n">
        <v>134</v>
      </c>
      <c r="C154" s="134" t="n">
        <v>4</v>
      </c>
      <c r="D154" s="69" t="n">
        <v>4</v>
      </c>
      <c r="E154" s="70" t="inlineStr">
        <is>
          <t>교량</t>
        </is>
      </c>
      <c r="F154" s="71" t="inlineStr">
        <is>
          <t>PSC 교량</t>
        </is>
      </c>
      <c r="G154" s="72" t="inlineStr">
        <is>
          <t>4. PSC 거더(Prestress Concrete Girder)공사 중 사고 예방을 휘해 PSC거더의 응력변화와 긴장작업 시 주의 사항 및 시공단계별 안전 유의사항에 대하여 설명하시오</t>
        </is>
      </c>
      <c r="N154" s="109" t="n"/>
    </row>
    <row r="155" ht="33" customHeight="1" s="77">
      <c r="A155" s="11" t="n"/>
      <c r="B155" s="133" t="n">
        <v>134</v>
      </c>
      <c r="C155" s="134" t="n">
        <v>4</v>
      </c>
      <c r="D155" s="69" t="n">
        <v>5</v>
      </c>
      <c r="E155" s="70" t="inlineStr">
        <is>
          <t>재해유형</t>
        </is>
      </c>
      <c r="F155" s="71" t="inlineStr">
        <is>
          <t>화재</t>
        </is>
      </c>
      <c r="G155" s="72" t="inlineStr">
        <is>
          <t>5. 건설현장에서 용접,용단 작업시 화재사고의 위험요소, 화재발생 원인과 방지대책 및 점검 항목에 대하여 설명하시오</t>
        </is>
      </c>
      <c r="N155" s="109" t="n"/>
    </row>
    <row r="156" ht="48.75" customHeight="1" s="77">
      <c r="A156" s="11" t="n"/>
      <c r="B156" s="133" t="n">
        <v>134</v>
      </c>
      <c r="C156" s="134" t="n">
        <v>4</v>
      </c>
      <c r="D156" s="69" t="n">
        <v>6</v>
      </c>
      <c r="E156" s="70" t="inlineStr">
        <is>
          <t>안전관리론</t>
        </is>
      </c>
      <c r="F156" s="71" t="inlineStr">
        <is>
          <t>실수 휴먼에러 부주의</t>
        </is>
      </c>
      <c r="G156" s="72" t="inlineStr">
        <is>
          <t>6. 인간공학에서 실수의 종류, 이에 대한 원인 및 대책에 대하여 설명하시오</t>
        </is>
      </c>
      <c r="N156" s="109" t="n"/>
    </row>
    <row r="157">
      <c r="A157" s="11" t="n"/>
      <c r="B157" s="135" t="n">
        <v>133</v>
      </c>
      <c r="C157" s="136" t="n">
        <v>1</v>
      </c>
      <c r="D157" s="57" t="n">
        <v>1</v>
      </c>
      <c r="E157" s="51" t="inlineStr">
        <is>
          <t>재해유형</t>
        </is>
      </c>
      <c r="F157" s="58" t="inlineStr">
        <is>
          <t>누전차단기</t>
        </is>
      </c>
      <c r="G157" s="24" t="inlineStr">
        <is>
          <t>누전차단기를 설치하여야 하는 전기 기계·기구의 종류 및 접속 시 준수사항</t>
        </is>
      </c>
      <c r="N157" s="109" t="n"/>
    </row>
    <row r="158">
      <c r="A158" s="11" t="n"/>
      <c r="B158" s="135" t="n">
        <v>133</v>
      </c>
      <c r="C158" s="136" t="n">
        <v>1</v>
      </c>
      <c r="D158" s="57" t="n">
        <v>2</v>
      </c>
      <c r="E158" s="51" t="inlineStr">
        <is>
          <t>터널</t>
        </is>
      </c>
      <c r="F158" s="58" t="inlineStr">
        <is>
          <t>터널공사시 계측</t>
        </is>
      </c>
      <c r="G158" s="24" t="inlineStr">
        <is>
          <t>터널공사 시 계측의 목적, 계측항목, 계측관리 시 유의사항</t>
        </is>
      </c>
      <c r="N158" s="109" t="n"/>
    </row>
    <row r="159">
      <c r="A159" s="11" t="n"/>
      <c r="B159" s="135" t="n">
        <v>133</v>
      </c>
      <c r="C159" s="136" t="n">
        <v>1</v>
      </c>
      <c r="D159" s="57" t="n">
        <v>3</v>
      </c>
      <c r="E159" s="51" t="inlineStr">
        <is>
          <t>안전관리론</t>
        </is>
      </c>
      <c r="F159" s="58" t="inlineStr">
        <is>
          <t>안전교육 8원칙</t>
        </is>
      </c>
      <c r="G159" s="24" t="inlineStr">
        <is>
          <t>안전보건 교육지도 8원칙</t>
        </is>
      </c>
      <c r="N159" s="109" t="n"/>
    </row>
    <row r="160">
      <c r="A160" s="11" t="n"/>
      <c r="B160" s="135" t="n">
        <v>133</v>
      </c>
      <c r="C160" s="136" t="n">
        <v>1</v>
      </c>
      <c r="D160" s="57" t="n">
        <v>4</v>
      </c>
      <c r="E160" s="51" t="inlineStr">
        <is>
          <t>안전관리론</t>
        </is>
      </c>
      <c r="F160" s="58" t="inlineStr">
        <is>
          <t>RMR</t>
        </is>
      </c>
      <c r="G160" s="24" t="inlineStr">
        <is>
          <t>에너지대사율(Relative Metabolic Rate)의 산출식과 작업강도의 구분기준</t>
        </is>
      </c>
      <c r="N160" s="109" t="n"/>
    </row>
    <row r="161">
      <c r="A161" s="11" t="n"/>
      <c r="B161" s="135" t="n">
        <v>133</v>
      </c>
      <c r="C161" s="136" t="n">
        <v>1</v>
      </c>
      <c r="D161" s="57" t="n">
        <v>5</v>
      </c>
      <c r="E161" s="51" t="inlineStr">
        <is>
          <t>안전관리론</t>
        </is>
      </c>
      <c r="F161" s="58" t="inlineStr">
        <is>
          <t>맥그리거</t>
        </is>
      </c>
      <c r="G161" s="24" t="inlineStr">
        <is>
          <t>맥그리거(Douglas McGregor)의 XY이론</t>
        </is>
      </c>
      <c r="N161" s="109" t="n"/>
    </row>
    <row r="162">
      <c r="A162" s="11" t="n"/>
      <c r="B162" s="135" t="n">
        <v>133</v>
      </c>
      <c r="C162" s="136" t="n">
        <v>1</v>
      </c>
      <c r="D162" s="57" t="n">
        <v>6</v>
      </c>
      <c r="E162" s="51" t="inlineStr">
        <is>
          <t>산안법</t>
        </is>
      </c>
      <c r="F162" s="58" t="inlineStr">
        <is>
          <t>조도기준</t>
        </is>
      </c>
      <c r="G162" s="24" t="inlineStr">
        <is>
          <t>상시 작업하는 장소의 작업면 및 갱내(坑內) 작업장의 조도기준</t>
        </is>
      </c>
      <c r="N162" s="109" t="n"/>
    </row>
    <row r="163">
      <c r="A163" s="11" t="n"/>
      <c r="B163" s="135" t="n">
        <v>133</v>
      </c>
      <c r="C163" s="136" t="n">
        <v>1</v>
      </c>
      <c r="D163" s="57" t="n">
        <v>7</v>
      </c>
      <c r="E163" s="51" t="inlineStr">
        <is>
          <t>산안법</t>
        </is>
      </c>
      <c r="F163" s="58" t="inlineStr">
        <is>
          <t>안전대</t>
        </is>
      </c>
      <c r="G163" s="24" t="inlineStr">
        <is>
          <t>안전대의 종류 및 착용 대상작업</t>
        </is>
      </c>
      <c r="N163" s="109" t="n"/>
    </row>
    <row r="164">
      <c r="A164" s="11" t="n"/>
      <c r="B164" s="135" t="n">
        <v>133</v>
      </c>
      <c r="C164" s="136" t="n">
        <v>1</v>
      </c>
      <c r="D164" s="57" t="n">
        <v>8</v>
      </c>
      <c r="E164" s="51" t="inlineStr">
        <is>
          <t>산안법</t>
        </is>
      </c>
      <c r="F164" s="58" t="inlineStr">
        <is>
          <t>안전보건조정자</t>
        </is>
      </c>
      <c r="G164" s="24" t="inlineStr">
        <is>
          <t>안전보건조정자를 두어야 하는 건설공사의 공사금액, 안전보건조정자의 자격·업무</t>
        </is>
      </c>
      <c r="N164" s="109" t="n"/>
    </row>
    <row r="165">
      <c r="A165" s="11" t="n"/>
      <c r="B165" s="135" t="n">
        <v>133</v>
      </c>
      <c r="C165" s="136" t="n">
        <v>1</v>
      </c>
      <c r="D165" s="57" t="n">
        <v>9</v>
      </c>
      <c r="E165" s="51" t="inlineStr">
        <is>
          <t>콘크리트</t>
        </is>
      </c>
      <c r="F165" s="58" t="inlineStr">
        <is>
          <t>슈미트 해머</t>
        </is>
      </c>
      <c r="G165" s="24" t="inlineStr">
        <is>
          <t>슈미트 해머(Schmidt Hammer)를 이용한 콘크리트 강도 추정 방법</t>
        </is>
      </c>
      <c r="N165" s="109" t="n"/>
    </row>
    <row r="166">
      <c r="A166" s="11" t="n"/>
      <c r="B166" s="135" t="n">
        <v>133</v>
      </c>
      <c r="C166" s="136" t="n">
        <v>1</v>
      </c>
      <c r="D166" s="57" t="n">
        <v>10</v>
      </c>
      <c r="E166" s="51" t="inlineStr">
        <is>
          <t>철골</t>
        </is>
      </c>
      <c r="F166" s="58" t="inlineStr">
        <is>
          <t>용접결함</t>
        </is>
      </c>
      <c r="G166" s="24" t="inlineStr">
        <is>
          <t>강구조물 용접결함의 종류 및 보수용접 방법</t>
        </is>
      </c>
      <c r="N166" s="109" t="n"/>
    </row>
    <row r="167">
      <c r="A167" s="11" t="n"/>
      <c r="B167" s="135" t="n">
        <v>133</v>
      </c>
      <c r="C167" s="136" t="n">
        <v>1</v>
      </c>
      <c r="D167" s="57" t="n">
        <v>11</v>
      </c>
      <c r="E167" s="51" t="inlineStr">
        <is>
          <t>산안법</t>
        </is>
      </c>
      <c r="F167" s="58" t="inlineStr">
        <is>
          <t>안전성 평가</t>
        </is>
      </c>
      <c r="G167" s="24" t="inlineStr">
        <is>
          <t>구축물 등의 안전유지 및 안전성 평가</t>
        </is>
      </c>
      <c r="N167" s="109" t="n"/>
    </row>
    <row r="168">
      <c r="A168" s="11" t="n"/>
      <c r="B168" s="135" t="n">
        <v>133</v>
      </c>
      <c r="C168" s="136" t="n">
        <v>1</v>
      </c>
      <c r="D168" s="57" t="n">
        <v>12</v>
      </c>
      <c r="E168" s="51" t="inlineStr">
        <is>
          <t>토공</t>
        </is>
      </c>
      <c r="F168" s="58" t="inlineStr">
        <is>
          <t>액상화</t>
        </is>
      </c>
      <c r="G168" s="24" t="inlineStr">
        <is>
          <t>지반의 액상화 평가 생략 조건</t>
        </is>
      </c>
      <c r="N168" s="109" t="n"/>
    </row>
    <row r="169">
      <c r="A169" s="11" t="n"/>
      <c r="B169" s="135" t="n">
        <v>133</v>
      </c>
      <c r="C169" s="136" t="n">
        <v>1</v>
      </c>
      <c r="D169" s="57" t="n">
        <v>13</v>
      </c>
      <c r="E169" s="51" t="inlineStr">
        <is>
          <t>가설공사</t>
        </is>
      </c>
      <c r="F169" s="58" t="inlineStr">
        <is>
          <t>비계</t>
        </is>
      </c>
      <c r="G169" s="24" t="inlineStr">
        <is>
          <t>비계설치 시 벽 이음재 결속종류와 시공 시 유의사항</t>
        </is>
      </c>
      <c r="N169" s="109" t="n"/>
    </row>
    <row r="170">
      <c r="A170" s="11" t="n"/>
      <c r="B170" s="135" t="n">
        <v>133</v>
      </c>
      <c r="C170" s="136" t="n">
        <v>2</v>
      </c>
      <c r="D170" s="57" t="n">
        <v>1</v>
      </c>
      <c r="E170" s="51" t="inlineStr">
        <is>
          <t>토공</t>
        </is>
      </c>
      <c r="F170" s="58" t="inlineStr">
        <is>
          <t>사면안정</t>
        </is>
      </c>
      <c r="G170" s="24" t="inlineStr">
        <is>
          <t>도로사면의 붕괴형태와 붕괴원인 및 사면안정공법에 대하여 설명하시오.</t>
        </is>
      </c>
      <c r="N170" s="109" t="n"/>
    </row>
    <row r="171">
      <c r="A171" s="11" t="n"/>
      <c r="B171" s="135" t="n">
        <v>133</v>
      </c>
      <c r="C171" s="136" t="n">
        <v>2</v>
      </c>
      <c r="D171" s="57" t="n">
        <v>2</v>
      </c>
      <c r="E171" s="51" t="inlineStr">
        <is>
          <t>콘크리트</t>
        </is>
      </c>
      <c r="F171" s="58" t="inlineStr">
        <is>
          <t>갱폼</t>
        </is>
      </c>
      <c r="G171" s="24" t="inlineStr">
        <is>
          <t>갱폼(Gang Form)의 안전설비기준과 설치·해체·인양작업 시 안전대책에 대하여 설명하시오</t>
        </is>
      </c>
      <c r="N171" s="109" t="n"/>
    </row>
    <row r="172">
      <c r="A172" s="11" t="n"/>
      <c r="B172" s="135" t="n">
        <v>133</v>
      </c>
      <c r="C172" s="136" t="n">
        <v>2</v>
      </c>
      <c r="D172" s="57" t="n">
        <v>3</v>
      </c>
      <c r="E172" s="51" t="inlineStr">
        <is>
          <t>토공</t>
        </is>
      </c>
      <c r="F172" s="58" t="inlineStr">
        <is>
          <t>연약지반</t>
        </is>
      </c>
      <c r="G172" s="24" t="inlineStr">
        <is>
          <t>연약지반 굴착 공사 시 지반조사, 연약지반 처리대책, 계측과 시공관리에 대하여 설명하시오</t>
        </is>
      </c>
      <c r="N172" s="109" t="n"/>
    </row>
    <row r="173" customFormat="1" s="31">
      <c r="A173" s="25" t="n"/>
      <c r="B173" s="125" t="n">
        <v>133</v>
      </c>
      <c r="C173" s="126" t="n">
        <v>2</v>
      </c>
      <c r="D173" s="26" t="n">
        <v>4</v>
      </c>
      <c r="E173" s="51" t="inlineStr">
        <is>
          <t>안전관리론</t>
        </is>
      </c>
      <c r="F173" s="28" t="inlineStr">
        <is>
          <t>불안전한 행동 부주의</t>
        </is>
      </c>
      <c r="G173" s="34" t="inlineStr">
        <is>
          <t>근로자의 불안전한 행동 중 부주의 현상의 특징, 발생원인 및 예방대책에 대하여 설명하시오.</t>
        </is>
      </c>
      <c r="H173" s="30" t="n"/>
      <c r="I173" s="30" t="n"/>
      <c r="J173" s="30" t="n"/>
      <c r="K173" s="30" t="n"/>
      <c r="L173" s="30" t="n"/>
      <c r="M173" s="30" t="n"/>
      <c r="O173" s="30" t="n"/>
      <c r="P173" s="30" t="n"/>
    </row>
    <row r="174" customFormat="1" s="31">
      <c r="A174" s="25" t="n"/>
      <c r="B174" s="137" t="n">
        <v>133</v>
      </c>
      <c r="C174" s="138" t="n">
        <v>2</v>
      </c>
      <c r="D174" s="53" t="n">
        <v>5</v>
      </c>
      <c r="E174" s="54" t="inlineStr">
        <is>
          <t>산안법</t>
        </is>
      </c>
      <c r="F174" s="55" t="inlineStr">
        <is>
          <t>근골격계 질환</t>
        </is>
      </c>
      <c r="G174" s="56" t="inlineStr">
        <is>
          <t>건설현장 근로자의 근골격계 질환의 발생단계, 발생원인, 유해요인조사에 대하여 설명하시오.</t>
        </is>
      </c>
      <c r="H174" s="30" t="n"/>
      <c r="I174" s="30" t="n"/>
      <c r="J174" s="30" t="n"/>
      <c r="K174" s="30" t="n"/>
      <c r="L174" s="30" t="n"/>
      <c r="M174" s="30" t="n"/>
      <c r="O174" s="30" t="n"/>
      <c r="P174" s="30" t="n"/>
    </row>
    <row r="175" customFormat="1" s="31">
      <c r="A175" s="25" t="n"/>
      <c r="B175" s="125" t="n">
        <v>133</v>
      </c>
      <c r="C175" s="126" t="n">
        <v>2</v>
      </c>
      <c r="D175" s="26" t="n">
        <v>6</v>
      </c>
      <c r="E175" s="51" t="inlineStr">
        <is>
          <t>안전관리론</t>
        </is>
      </c>
      <c r="F175" s="28" t="inlineStr">
        <is>
          <t>교육훈련 기법</t>
        </is>
      </c>
      <c r="G175" s="34" t="inlineStr">
        <is>
          <t>교육훈련 기법 중 강의법과 토의법을 비교하고, 토의법의 종류에 대하여 설명하시오.</t>
        </is>
      </c>
      <c r="H175" s="30" t="n"/>
      <c r="I175" s="30" t="n"/>
      <c r="J175" s="30" t="n"/>
      <c r="K175" s="30" t="n"/>
      <c r="L175" s="30" t="n"/>
      <c r="M175" s="30" t="n"/>
      <c r="O175" s="30" t="n"/>
      <c r="P175" s="30" t="n"/>
    </row>
    <row r="176" ht="33" customFormat="1" customHeight="1" s="31">
      <c r="A176" s="25" t="n"/>
      <c r="B176" s="125" t="n">
        <v>133</v>
      </c>
      <c r="C176" s="126" t="n">
        <v>3</v>
      </c>
      <c r="D176" s="26" t="n">
        <v>1</v>
      </c>
      <c r="E176" s="51" t="inlineStr">
        <is>
          <t>해체공사</t>
        </is>
      </c>
      <c r="F176" s="28" t="inlineStr">
        <is>
          <t>해체공사</t>
        </is>
      </c>
      <c r="G176" s="34" t="inlineStr">
        <is>
          <t>「해체공사 표준안전작업지침」상 해체공사 전 확인사항(부지상황 조사, 해체대상 구조물
조사) 및 해체작업계획 수립 시 준수사항에 대하여 설명하시오</t>
        </is>
      </c>
      <c r="H176" s="30" t="n"/>
      <c r="I176" s="30" t="n"/>
      <c r="J176" s="30" t="n"/>
      <c r="K176" s="30" t="n"/>
      <c r="L176" s="30" t="n"/>
      <c r="M176" s="30" t="n"/>
      <c r="O176" s="30" t="n"/>
      <c r="P176" s="30" t="n"/>
    </row>
    <row r="177" ht="33" customFormat="1" customHeight="1" s="31">
      <c r="A177" s="25" t="n"/>
      <c r="B177" s="137" t="n">
        <v>133</v>
      </c>
      <c r="C177" s="138" t="n">
        <v>3</v>
      </c>
      <c r="D177" s="53" t="n">
        <v>2</v>
      </c>
      <c r="E177" s="54" t="inlineStr">
        <is>
          <t>산안법</t>
        </is>
      </c>
      <c r="F177" s="55" t="inlineStr">
        <is>
          <t>유해위험방지계획서</t>
        </is>
      </c>
      <c r="G177" s="56" t="inlineStr">
        <is>
          <t>건설업 유해위험방지계획서 작성 대상사업장 및 제출서류, 계획수립절차, 심사구분에
대하여 설명하시오.</t>
        </is>
      </c>
      <c r="H177" s="30" t="n"/>
      <c r="I177" s="30" t="n"/>
      <c r="J177" s="30" t="n"/>
      <c r="K177" s="30" t="n"/>
      <c r="L177" s="30" t="n"/>
      <c r="M177" s="30" t="n"/>
      <c r="O177" s="30" t="n"/>
      <c r="P177" s="30" t="n"/>
    </row>
    <row r="178" customFormat="1" s="31">
      <c r="A178" s="25" t="n"/>
      <c r="B178" s="137" t="n">
        <v>133</v>
      </c>
      <c r="C178" s="138" t="n">
        <v>3</v>
      </c>
      <c r="D178" s="53" t="n">
        <v>3</v>
      </c>
      <c r="E178" s="54" t="inlineStr">
        <is>
          <t>산안법</t>
        </is>
      </c>
      <c r="F178" s="55" t="inlineStr">
        <is>
          <t>산업재해예방활동 실적평가</t>
        </is>
      </c>
      <c r="G178" s="56" t="inlineStr">
        <is>
          <t>건설업체의 산업재해예방활동 실적 평가대상, 평가항목, 평가방법에 대하여 설명하시오</t>
        </is>
      </c>
      <c r="H178" s="30" t="n"/>
      <c r="I178" s="30" t="n"/>
      <c r="J178" s="30" t="n"/>
      <c r="K178" s="30" t="n"/>
      <c r="L178" s="30" t="n"/>
      <c r="M178" s="30" t="n"/>
      <c r="O178" s="30" t="n"/>
      <c r="P178" s="30" t="n"/>
    </row>
    <row r="179" ht="49.5" customFormat="1" customHeight="1" s="31">
      <c r="A179" s="25" t="n"/>
      <c r="B179" s="137" t="n">
        <v>133</v>
      </c>
      <c r="C179" s="138" t="n">
        <v>3</v>
      </c>
      <c r="D179" s="53" t="n">
        <v>4</v>
      </c>
      <c r="E179" s="54" t="inlineStr">
        <is>
          <t>산안법</t>
        </is>
      </c>
      <c r="F179" s="55" t="inlineStr">
        <is>
          <t>소음작업</t>
        </is>
      </c>
      <c r="G179" s="56" t="inlineStr">
        <is>
          <t>소음작업의 종류 및 정의, 방음용 귀마개 또는 귀덮개의 종류 및 등급, 진동작업에
해당하는 기계·기구의 종류 및 진동작업에 종사하는 근로자에게 알려야 할 사항에
대하여 설명하시오.</t>
        </is>
      </c>
      <c r="H179" s="30" t="n"/>
      <c r="I179" s="30" t="n"/>
      <c r="J179" s="30" t="n"/>
      <c r="K179" s="30" t="n"/>
      <c r="L179" s="30" t="n"/>
      <c r="M179" s="30" t="n"/>
      <c r="O179" s="30" t="n"/>
      <c r="P179" s="30" t="n"/>
    </row>
    <row r="180" ht="33" customFormat="1" customHeight="1" s="31">
      <c r="A180" s="25" t="n"/>
      <c r="B180" s="125" t="n">
        <v>133</v>
      </c>
      <c r="C180" s="126" t="n">
        <v>3</v>
      </c>
      <c r="D180" s="26" t="n">
        <v>5</v>
      </c>
      <c r="E180" s="51" t="inlineStr">
        <is>
          <t>콘크리트</t>
        </is>
      </c>
      <c r="F180" s="28" t="inlineStr">
        <is>
          <t>PS 강재 응력이완</t>
        </is>
      </c>
      <c r="G180" s="34" t="inlineStr">
        <is>
          <t>프리스트레스트 콘크리트에서 PS 강재의 인장방법 및 응력이완(Stress Relaxation),
응력부식(Stress Corrosion)에 대하여 설명하시오</t>
        </is>
      </c>
      <c r="H180" s="30" t="n"/>
      <c r="I180" s="30" t="n"/>
      <c r="J180" s="30" t="n"/>
      <c r="K180" s="30" t="n"/>
      <c r="L180" s="30" t="n"/>
      <c r="M180" s="30" t="n"/>
      <c r="O180" s="30" t="n"/>
      <c r="P180" s="30" t="n"/>
    </row>
    <row r="181" ht="33" customFormat="1" customHeight="1" s="31">
      <c r="A181" s="25" t="n"/>
      <c r="B181" s="125" t="n">
        <v>133</v>
      </c>
      <c r="C181" s="126" t="n">
        <v>3</v>
      </c>
      <c r="D181" s="26" t="n">
        <v>6</v>
      </c>
      <c r="E181" s="51" t="inlineStr">
        <is>
          <t>토공</t>
        </is>
      </c>
      <c r="F181" s="28" t="inlineStr">
        <is>
          <t>굴착공사</t>
        </is>
      </c>
      <c r="G181" s="34" t="inlineStr">
        <is>
          <t>굴착공사 중 사면 개착공법 적용에 따른 토사 사면 안정성 확보를 위한 작업 전, 중, 후
조치사항에 대하여 설명하시오.</t>
        </is>
      </c>
      <c r="H181" s="30" t="n"/>
      <c r="I181" s="30" t="n"/>
      <c r="J181" s="30" t="n"/>
      <c r="K181" s="30" t="n"/>
      <c r="L181" s="30" t="n"/>
      <c r="M181" s="30" t="n"/>
      <c r="O181" s="30" t="n"/>
      <c r="P181" s="30" t="n"/>
    </row>
    <row r="182" customFormat="1" s="31">
      <c r="A182" s="25" t="n"/>
      <c r="B182" s="137" t="n">
        <v>133</v>
      </c>
      <c r="C182" s="138" t="n">
        <v>4</v>
      </c>
      <c r="D182" s="53" t="n">
        <v>1</v>
      </c>
      <c r="E182" s="54" t="inlineStr">
        <is>
          <t>산안법</t>
        </is>
      </c>
      <c r="F182" s="55" t="inlineStr">
        <is>
          <t>위험성 평가</t>
        </is>
      </c>
      <c r="G182" s="56" t="inlineStr">
        <is>
          <t>상시적인 위험성평가의 실시방법 및 근로자의 참여방법에 대하여 설명하시오.</t>
        </is>
      </c>
      <c r="H182" s="30" t="n"/>
      <c r="I182" s="30" t="n"/>
      <c r="J182" s="30" t="n"/>
      <c r="K182" s="30" t="n"/>
      <c r="L182" s="30" t="n"/>
      <c r="M182" s="30" t="n"/>
      <c r="O182" s="30" t="n"/>
      <c r="P182" s="30" t="n"/>
    </row>
    <row r="183" ht="33" customFormat="1" customHeight="1" s="31">
      <c r="A183" s="25" t="n"/>
      <c r="B183" s="125" t="n">
        <v>133</v>
      </c>
      <c r="C183" s="126" t="n">
        <v>4</v>
      </c>
      <c r="D183" s="26" t="n">
        <v>2</v>
      </c>
      <c r="E183" s="51" t="inlineStr">
        <is>
          <t>산안법</t>
        </is>
      </c>
      <c r="F183" s="28" t="inlineStr">
        <is>
          <t>중대재해</t>
        </is>
      </c>
      <c r="G183" s="34" t="inlineStr">
        <is>
          <t>「산업안전보건법」과 「중대재해 처벌 등에 관한 법률」상의 중대재해를 구분하여
정의하고 현장에서 중대재해 발생 시 조치사항을 설명하시오</t>
        </is>
      </c>
      <c r="H183" s="30" t="n"/>
      <c r="I183" s="30" t="n"/>
      <c r="J183" s="30" t="n"/>
      <c r="K183" s="30" t="n"/>
      <c r="L183" s="30" t="n"/>
      <c r="M183" s="30" t="n"/>
      <c r="O183" s="30" t="n"/>
      <c r="P183" s="30" t="n"/>
    </row>
    <row r="184" customFormat="1" s="31">
      <c r="A184" s="25" t="n"/>
      <c r="B184" s="125" t="n">
        <v>133</v>
      </c>
      <c r="C184" s="126" t="n">
        <v>4</v>
      </c>
      <c r="D184" s="26" t="n">
        <v>3</v>
      </c>
      <c r="E184" s="51" t="inlineStr">
        <is>
          <t>콘크리트</t>
        </is>
      </c>
      <c r="F184" s="28" t="inlineStr">
        <is>
          <t>데크플레이트</t>
        </is>
      </c>
      <c r="G184" s="34" t="inlineStr">
        <is>
          <t>데크플레이트 붕괴사고 원인과 설치 시 안전수칙 및 점검사항에 대하여 설명하시오.</t>
        </is>
      </c>
      <c r="H184" s="30" t="n"/>
      <c r="I184" s="30" t="n"/>
      <c r="J184" s="30" t="n"/>
      <c r="K184" s="30" t="n"/>
      <c r="L184" s="30" t="n"/>
      <c r="M184" s="30" t="n"/>
      <c r="O184" s="30" t="n"/>
      <c r="P184" s="30" t="n"/>
    </row>
    <row r="185" customFormat="1" s="31">
      <c r="A185" s="25" t="n"/>
      <c r="B185" s="125" t="n">
        <v>133</v>
      </c>
      <c r="C185" s="126" t="n">
        <v>4</v>
      </c>
      <c r="D185" s="26" t="n">
        <v>4</v>
      </c>
      <c r="E185" s="51" t="inlineStr">
        <is>
          <t>가설공사</t>
        </is>
      </c>
      <c r="F185" s="28" t="inlineStr">
        <is>
          <t>동바리</t>
        </is>
      </c>
      <c r="G185" s="34" t="inlineStr">
        <is>
          <t>동바리의 유형별 조립 시 안전조치사항과 조립·해체시 준수사항에 대하여 설명하시오</t>
        </is>
      </c>
      <c r="H185" s="30" t="n"/>
      <c r="I185" s="30" t="n"/>
      <c r="J185" s="30" t="n"/>
      <c r="K185" s="30" t="n"/>
      <c r="L185" s="30" t="n"/>
      <c r="M185" s="30" t="n"/>
      <c r="O185" s="30" t="n"/>
      <c r="P185" s="30" t="n"/>
    </row>
    <row r="186" ht="49.5" customFormat="1" customHeight="1" s="31">
      <c r="A186" s="25" t="n"/>
      <c r="B186" s="125" t="n">
        <v>133</v>
      </c>
      <c r="C186" s="126" t="n">
        <v>4</v>
      </c>
      <c r="D186" s="26" t="n">
        <v>5</v>
      </c>
      <c r="E186" s="51" t="inlineStr">
        <is>
          <t>기타</t>
        </is>
      </c>
      <c r="F186" s="28" t="inlineStr">
        <is>
          <t>임시소방시설</t>
        </is>
      </c>
      <c r="G186" s="34" t="inlineStr">
        <is>
          <t>건설현장에 설치하는 임시소방시설의 대상작업, 임시소방시설을 설치해야 하는 공사의
종류 및 규모, 임시소방시설과 기능 및 성능이 유사한 소방시설로서 임시소방시설을
설치한 것으로 보는 소방시설에 대하여 설명하시오.</t>
        </is>
      </c>
      <c r="H186" s="30" t="n"/>
      <c r="I186" s="30" t="n"/>
      <c r="J186" s="30" t="n"/>
      <c r="K186" s="30" t="n"/>
      <c r="L186" s="30" t="n"/>
      <c r="M186" s="30" t="n"/>
      <c r="O186" s="30" t="n"/>
      <c r="P186" s="30" t="n"/>
    </row>
    <row r="187" ht="15" customFormat="1" customHeight="1" s="31">
      <c r="A187" s="25" t="n"/>
      <c r="B187" s="125" t="n">
        <v>133</v>
      </c>
      <c r="C187" s="126" t="n">
        <v>4</v>
      </c>
      <c r="D187" s="26" t="n">
        <v>6</v>
      </c>
      <c r="E187" s="51" t="inlineStr">
        <is>
          <t>건설기계</t>
        </is>
      </c>
      <c r="F187" s="28" t="inlineStr">
        <is>
          <t>타워크레인</t>
        </is>
      </c>
      <c r="G187" s="34" t="inlineStr">
        <is>
          <t>타워크레인 작업계획서 내용과 상승 작업 시 절차 및 주요 단계별 확인사항에 대하여
설명하시오.</t>
        </is>
      </c>
      <c r="H187" s="30" t="n"/>
      <c r="I187" s="30" t="n"/>
      <c r="J187" s="30" t="n"/>
      <c r="K187" s="30" t="n"/>
      <c r="L187" s="30" t="n"/>
      <c r="M187" s="30" t="n"/>
      <c r="O187" s="30" t="n"/>
      <c r="P187" s="30" t="n"/>
    </row>
    <row r="188" customFormat="1" s="31">
      <c r="A188" s="25" t="n"/>
      <c r="B188" s="139" t="n">
        <v>132</v>
      </c>
      <c r="C188" s="140" t="n">
        <v>1</v>
      </c>
      <c r="D188" s="47" t="n">
        <v>1</v>
      </c>
      <c r="E188" s="48" t="inlineStr">
        <is>
          <t>토공</t>
        </is>
      </c>
      <c r="F188" s="49" t="inlineStr">
        <is>
          <t>흙의 압밀</t>
        </is>
      </c>
      <c r="G188" s="50" t="inlineStr">
        <is>
          <t>1. 흙의 압밀현상</t>
        </is>
      </c>
      <c r="H188" s="30" t="n"/>
      <c r="I188" s="30" t="n"/>
      <c r="J188" s="30" t="n"/>
      <c r="K188" s="30" t="n"/>
      <c r="L188" s="30" t="n"/>
      <c r="M188" s="30" t="n"/>
      <c r="O188" s="30" t="n"/>
      <c r="P188" s="30" t="n"/>
    </row>
    <row r="189" customFormat="1" s="31">
      <c r="A189" s="25" t="n"/>
      <c r="B189" s="139" t="n">
        <v>132</v>
      </c>
      <c r="C189" s="140" t="n">
        <v>1</v>
      </c>
      <c r="D189" s="47" t="n">
        <v>2</v>
      </c>
      <c r="E189" s="48" t="inlineStr">
        <is>
          <t>콘크리트</t>
        </is>
      </c>
      <c r="F189" s="49" t="inlineStr">
        <is>
          <t>거푸집_해체</t>
        </is>
      </c>
      <c r="G189" s="50" t="inlineStr">
        <is>
          <t>2. 거푸집의 해체 시기</t>
        </is>
      </c>
      <c r="H189" s="30" t="n"/>
      <c r="I189" s="30" t="n"/>
      <c r="J189" s="30" t="n"/>
      <c r="K189" s="30" t="n"/>
      <c r="L189" s="30" t="n"/>
      <c r="M189" s="30" t="n"/>
      <c r="O189" s="30" t="n"/>
      <c r="P189" s="30" t="n"/>
    </row>
    <row r="190" customFormat="1" s="31">
      <c r="A190" s="25" t="n"/>
      <c r="B190" s="137" t="n">
        <v>132</v>
      </c>
      <c r="C190" s="138" t="n">
        <v>1</v>
      </c>
      <c r="D190" s="53" t="n">
        <v>3</v>
      </c>
      <c r="E190" s="54" t="inlineStr">
        <is>
          <t>산안법</t>
        </is>
      </c>
      <c r="F190" s="55" t="inlineStr">
        <is>
          <t>위험성 평가</t>
        </is>
      </c>
      <c r="G190" s="56" t="inlineStr">
        <is>
          <t>3. 위험성평가의 방법 및 실시 시기</t>
        </is>
      </c>
      <c r="H190" s="30" t="n"/>
      <c r="I190" s="30" t="n"/>
      <c r="J190" s="30" t="n"/>
      <c r="K190" s="30" t="n"/>
      <c r="L190" s="30" t="n"/>
      <c r="M190" s="30" t="n"/>
      <c r="O190" s="30" t="n"/>
      <c r="P190" s="30" t="n"/>
    </row>
    <row r="191" customFormat="1" s="31">
      <c r="A191" s="25" t="n"/>
      <c r="B191" s="139" t="n">
        <v>132</v>
      </c>
      <c r="C191" s="140" t="n">
        <v>1</v>
      </c>
      <c r="D191" s="47" t="n">
        <v>4</v>
      </c>
      <c r="E191" s="48" t="inlineStr">
        <is>
          <t>콘크리트</t>
        </is>
      </c>
      <c r="F191" s="49" t="inlineStr">
        <is>
          <t>균열과 열화</t>
        </is>
      </c>
      <c r="G191" s="50" t="inlineStr">
        <is>
          <t>4. 염해에 의한 콘크리트 열화 현상</t>
        </is>
      </c>
      <c r="H191" s="30" t="n"/>
      <c r="I191" s="30" t="n"/>
      <c r="J191" s="30" t="n"/>
      <c r="K191" s="30" t="n"/>
      <c r="L191" s="30" t="n"/>
      <c r="M191" s="30" t="n"/>
      <c r="O191" s="30" t="n"/>
      <c r="P191" s="30" t="n"/>
    </row>
    <row r="192" customFormat="1" s="31">
      <c r="A192" s="25" t="n"/>
      <c r="B192" s="139" t="n">
        <v>132</v>
      </c>
      <c r="C192" s="140" t="n">
        <v>1</v>
      </c>
      <c r="D192" s="47" t="n">
        <v>5</v>
      </c>
      <c r="E192" s="48" t="inlineStr">
        <is>
          <t>건설기계</t>
        </is>
      </c>
      <c r="F192" s="49" t="inlineStr">
        <is>
          <t>굴착기</t>
        </is>
      </c>
      <c r="G192" s="50" t="inlineStr">
        <is>
          <t>5. 굴착기 작업 시의 안전조치 사항</t>
        </is>
      </c>
      <c r="H192" s="30" t="n"/>
      <c r="I192" s="30" t="n"/>
      <c r="J192" s="30" t="n"/>
      <c r="K192" s="30" t="n"/>
      <c r="L192" s="30" t="n"/>
      <c r="M192" s="30" t="n"/>
      <c r="O192" s="30" t="n"/>
      <c r="P192" s="30" t="n"/>
    </row>
    <row r="193" customFormat="1" s="31">
      <c r="A193" s="25" t="n"/>
      <c r="B193" s="139" t="n">
        <v>132</v>
      </c>
      <c r="C193" s="140" t="n">
        <v>1</v>
      </c>
      <c r="D193" s="47" t="n">
        <v>6</v>
      </c>
      <c r="E193" s="48" t="inlineStr">
        <is>
          <t>지진</t>
        </is>
      </c>
      <c r="F193" s="49" t="inlineStr">
        <is>
          <t>지진 규모 진도</t>
        </is>
      </c>
      <c r="G193" s="50" t="inlineStr">
        <is>
          <t>6. 지진파의 종류와 지진 규모 및 진도</t>
        </is>
      </c>
      <c r="H193" s="30" t="n"/>
      <c r="I193" s="30" t="n"/>
      <c r="J193" s="30" t="n"/>
      <c r="K193" s="30" t="n"/>
      <c r="L193" s="30" t="n"/>
      <c r="M193" s="30" t="n"/>
      <c r="O193" s="30" t="n"/>
      <c r="P193" s="30" t="n"/>
    </row>
    <row r="194" customFormat="1" s="31">
      <c r="A194" s="25" t="n"/>
      <c r="B194" s="139" t="n">
        <v>132</v>
      </c>
      <c r="C194" s="140" t="n">
        <v>1</v>
      </c>
      <c r="D194" s="47" t="n">
        <v>7</v>
      </c>
      <c r="E194" s="48" t="inlineStr">
        <is>
          <t>기초</t>
        </is>
      </c>
      <c r="F194" s="49" t="inlineStr">
        <is>
          <t>흙막이 어스앵커</t>
        </is>
      </c>
      <c r="G194" s="50" t="inlineStr">
        <is>
          <t>7. Earth Anchor 시공 시 안전 유의사항</t>
        </is>
      </c>
      <c r="H194" s="30" t="n"/>
      <c r="I194" s="30" t="n"/>
      <c r="J194" s="30" t="n"/>
      <c r="K194" s="30" t="n"/>
      <c r="L194" s="30" t="n"/>
      <c r="M194" s="30" t="n"/>
      <c r="O194" s="30" t="n"/>
      <c r="P194" s="30" t="n"/>
    </row>
    <row r="195" customFormat="1" s="31">
      <c r="A195" s="25" t="n"/>
      <c r="B195" s="139" t="n">
        <v>132</v>
      </c>
      <c r="C195" s="140" t="n">
        <v>1</v>
      </c>
      <c r="D195" s="47" t="n">
        <v>8</v>
      </c>
      <c r="E195" s="48" t="inlineStr">
        <is>
          <t>토공</t>
        </is>
      </c>
      <c r="F195" s="49" t="inlineStr">
        <is>
          <t>시험발파</t>
        </is>
      </c>
      <c r="G195" s="50" t="inlineStr">
        <is>
          <t>8. 시험발파 절차(Flow) 및 사전 검토사항</t>
        </is>
      </c>
      <c r="H195" s="30" t="n"/>
      <c r="I195" s="30" t="n"/>
      <c r="J195" s="30" t="n"/>
      <c r="K195" s="30" t="n"/>
      <c r="L195" s="30" t="n"/>
      <c r="M195" s="30" t="n"/>
      <c r="O195" s="30" t="n"/>
      <c r="P195" s="30" t="n"/>
    </row>
    <row r="196" customFormat="1" s="31">
      <c r="A196" s="25" t="n"/>
      <c r="B196" s="139" t="n">
        <v>132</v>
      </c>
      <c r="C196" s="140" t="n">
        <v>1</v>
      </c>
      <c r="D196" s="47" t="n">
        <v>9</v>
      </c>
      <c r="E196" s="48" t="inlineStr">
        <is>
          <t>안전관리론</t>
        </is>
      </c>
      <c r="F196" s="49" t="inlineStr">
        <is>
          <t>재해손실비용</t>
        </is>
      </c>
      <c r="G196" s="50" t="inlineStr">
        <is>
          <t>9. 재해손실비의 개념, 산정방법 및 평가방식</t>
        </is>
      </c>
      <c r="H196" s="30" t="n"/>
      <c r="I196" s="30" t="n"/>
      <c r="J196" s="30" t="n"/>
      <c r="K196" s="30" t="n"/>
      <c r="L196" s="30" t="n"/>
      <c r="M196" s="30" t="n"/>
      <c r="O196" s="30" t="n"/>
      <c r="P196" s="30" t="n"/>
    </row>
    <row r="197" customFormat="1" s="31">
      <c r="A197" s="25" t="n"/>
      <c r="B197" s="139" t="n">
        <v>132</v>
      </c>
      <c r="C197" s="140" t="n">
        <v>1</v>
      </c>
      <c r="D197" s="47" t="n">
        <v>10</v>
      </c>
      <c r="E197" s="48" t="inlineStr">
        <is>
          <t>기초</t>
        </is>
      </c>
      <c r="F197" s="49" t="inlineStr">
        <is>
          <t>흙막이</t>
        </is>
      </c>
      <c r="G197" s="50" t="inlineStr">
        <is>
          <t>10. 가시설 흙막이에서 Wale Beam(띠장)의 역할</t>
        </is>
      </c>
      <c r="H197" s="30" t="n"/>
      <c r="I197" s="30" t="n"/>
      <c r="J197" s="30" t="n"/>
      <c r="K197" s="30" t="n"/>
      <c r="L197" s="30" t="n"/>
      <c r="M197" s="30" t="n"/>
      <c r="O197" s="30" t="n"/>
      <c r="P197" s="30" t="n"/>
    </row>
    <row r="198" customFormat="1" s="31">
      <c r="A198" s="25" t="n"/>
      <c r="B198" s="139" t="n">
        <v>132</v>
      </c>
      <c r="C198" s="140" t="n">
        <v>1</v>
      </c>
      <c r="D198" s="47" t="n">
        <v>11</v>
      </c>
      <c r="E198" s="48" t="inlineStr">
        <is>
          <t>건설기계</t>
        </is>
      </c>
      <c r="F198" s="49" t="inlineStr">
        <is>
          <t>고소작업대</t>
        </is>
      </c>
      <c r="G198" s="50" t="inlineStr">
        <is>
          <t>11. 차량탑재형 고소작업대의 작업시작 전 점검사항</t>
        </is>
      </c>
      <c r="H198" s="30" t="n"/>
      <c r="I198" s="30" t="n"/>
      <c r="J198" s="30" t="n"/>
      <c r="K198" s="30" t="n"/>
      <c r="L198" s="30" t="n"/>
      <c r="M198" s="30" t="n"/>
      <c r="O198" s="30" t="n"/>
      <c r="P198" s="30" t="n"/>
    </row>
    <row r="199" customFormat="1" s="31">
      <c r="A199" s="25" t="n"/>
      <c r="B199" s="139" t="n">
        <v>132</v>
      </c>
      <c r="C199" s="140" t="n">
        <v>1</v>
      </c>
      <c r="D199" s="47" t="n">
        <v>12</v>
      </c>
      <c r="E199" s="48" t="inlineStr">
        <is>
          <t>안전관리론</t>
        </is>
      </c>
      <c r="F199" s="49" t="inlineStr">
        <is>
          <t>안전심리_인간행동방정식</t>
        </is>
      </c>
      <c r="G199" s="50" t="inlineStr">
        <is>
          <t>12. Levin의 인간 행동 방정식 P(Person)와 E(Environment)</t>
        </is>
      </c>
      <c r="H199" s="30" t="n"/>
      <c r="I199" s="30" t="n"/>
      <c r="J199" s="30" t="n"/>
      <c r="K199" s="30" t="n"/>
      <c r="L199" s="30" t="n"/>
      <c r="M199" s="30" t="n"/>
      <c r="O199" s="30" t="n"/>
      <c r="P199" s="30" t="n"/>
    </row>
    <row r="200" customFormat="1" s="31">
      <c r="A200" s="25" t="n"/>
      <c r="B200" s="137" t="n">
        <v>132</v>
      </c>
      <c r="C200" s="138" t="n">
        <v>1</v>
      </c>
      <c r="D200" s="53" t="n">
        <v>13</v>
      </c>
      <c r="E200" s="54" t="inlineStr">
        <is>
          <t>산안법</t>
        </is>
      </c>
      <c r="F200" s="55" t="inlineStr">
        <is>
          <t>도급사업에 따른 산업재해예방</t>
        </is>
      </c>
      <c r="G200" s="56" t="inlineStr">
        <is>
          <t>13. 도급인이 이행하여야 할 안전보건조치 및 산업재해 예방조치</t>
        </is>
      </c>
      <c r="H200" s="30" t="n"/>
      <c r="I200" s="30" t="n"/>
      <c r="J200" s="30" t="n"/>
      <c r="K200" s="30" t="n"/>
      <c r="L200" s="30" t="n"/>
      <c r="M200" s="30" t="n"/>
      <c r="O200" s="30" t="n"/>
      <c r="P200" s="30" t="n"/>
    </row>
    <row r="201" customFormat="1" s="31">
      <c r="A201" s="25" t="n"/>
      <c r="B201" s="139" t="n">
        <v>132</v>
      </c>
      <c r="C201" s="140" t="n">
        <v>2</v>
      </c>
      <c r="D201" s="47" t="n">
        <v>1</v>
      </c>
      <c r="E201" s="48" t="inlineStr">
        <is>
          <t>터널</t>
        </is>
      </c>
      <c r="F201" s="49" t="inlineStr">
        <is>
          <t>여굴</t>
        </is>
      </c>
      <c r="G201" s="50" t="inlineStr">
        <is>
          <t>1. 터널공사 여굴 발생 시 조사내용과 방지대책에 대하여 설명하시오.</t>
        </is>
      </c>
      <c r="H201" s="30" t="n"/>
      <c r="I201" s="30" t="n"/>
      <c r="J201" s="30" t="n"/>
      <c r="K201" s="30" t="n"/>
      <c r="L201" s="30" t="n"/>
      <c r="M201" s="30" t="n"/>
      <c r="O201" s="30" t="n"/>
      <c r="P201" s="30" t="n"/>
    </row>
    <row r="202" customFormat="1" s="31">
      <c r="A202" s="25" t="n"/>
      <c r="B202" s="139" t="n">
        <v>132</v>
      </c>
      <c r="C202" s="140" t="n">
        <v>2</v>
      </c>
      <c r="D202" s="47" t="n">
        <v>2</v>
      </c>
      <c r="E202" s="48" t="inlineStr">
        <is>
          <t>콘크리트</t>
        </is>
      </c>
      <c r="F202" s="48" t="inlineStr">
        <is>
          <t>균열과 열화</t>
        </is>
      </c>
      <c r="G202" s="50" t="inlineStr">
        <is>
          <t>2. 콘크리트 구조물의 성능저하 원인과 방지대책에 대하여 설명하시오.</t>
        </is>
      </c>
      <c r="H202" s="30" t="n"/>
      <c r="I202" s="30" t="n"/>
      <c r="J202" s="30" t="n"/>
      <c r="K202" s="30" t="n"/>
      <c r="L202" s="30" t="n"/>
      <c r="M202" s="30" t="n"/>
      <c r="O202" s="30" t="n"/>
      <c r="P202" s="30" t="n"/>
    </row>
    <row r="203" ht="33" customFormat="1" customHeight="1" s="31">
      <c r="A203" s="25" t="n"/>
      <c r="B203" s="139" t="n">
        <v>132</v>
      </c>
      <c r="C203" s="140" t="n">
        <v>2</v>
      </c>
      <c r="D203" s="47" t="n">
        <v>3</v>
      </c>
      <c r="E203" s="48" t="inlineStr">
        <is>
          <t>가설공사</t>
        </is>
      </c>
      <c r="F203" s="49" t="inlineStr">
        <is>
          <t>낙하물방지, 추락방지</t>
        </is>
      </c>
      <c r="G203" s="50" t="inlineStr">
        <is>
          <t>3. 산업안전보건기준에 관한 규칙 상 낙하물에 의한 위험방지 조치와 설치기준 및 추락방지대책에 대하여 설명하시오.</t>
        </is>
      </c>
      <c r="H203" s="30" t="n"/>
      <c r="I203" s="30" t="n"/>
      <c r="J203" s="30" t="n"/>
      <c r="K203" s="30" t="n"/>
      <c r="L203" s="30" t="n"/>
      <c r="M203" s="30" t="n"/>
      <c r="O203" s="30" t="n"/>
      <c r="P203" s="30" t="n"/>
    </row>
    <row r="204" ht="33" customFormat="1" customHeight="1" s="31">
      <c r="A204" s="25" t="n"/>
      <c r="B204" s="139" t="n">
        <v>132</v>
      </c>
      <c r="C204" s="140" t="n">
        <v>2</v>
      </c>
      <c r="D204" s="47" t="n">
        <v>4</v>
      </c>
      <c r="E204" s="48" t="inlineStr">
        <is>
          <t>가설공사</t>
        </is>
      </c>
      <c r="F204" s="49" t="inlineStr">
        <is>
          <t>비계</t>
        </is>
      </c>
      <c r="G204" s="50" t="inlineStr">
        <is>
          <t>4. 건설현장에서 사용하는 비계의 종류 및 조립·운용·해체 시 발생할 수 있는 재해유형과 설치기준 및 안전대책에 대하여 설명하시오.</t>
        </is>
      </c>
      <c r="H204" s="30" t="n"/>
      <c r="I204" s="30" t="n"/>
      <c r="J204" s="30" t="n"/>
      <c r="K204" s="30" t="n"/>
      <c r="L204" s="30" t="n"/>
      <c r="M204" s="30" t="n"/>
      <c r="O204" s="30" t="n"/>
      <c r="P204" s="30" t="n"/>
    </row>
    <row r="205" ht="33" customFormat="1" customHeight="1" s="31">
      <c r="A205" s="25" t="n"/>
      <c r="B205" s="139" t="n">
        <v>132</v>
      </c>
      <c r="C205" s="140" t="n">
        <v>2</v>
      </c>
      <c r="D205" s="47" t="n">
        <v>5</v>
      </c>
      <c r="E205" s="48" t="inlineStr">
        <is>
          <t>안전관리론</t>
        </is>
      </c>
      <c r="F205" s="49" t="inlineStr">
        <is>
          <t>의식수준 부주의</t>
        </is>
      </c>
      <c r="G205" s="50" t="inlineStr">
        <is>
          <t>5. 인간의 긴장정도(Tension Level)를 표시하는 의식수준 5단계와 의식수준과 부주의 행동의 관계에 대하여 설명하시오.</t>
        </is>
      </c>
      <c r="H205" s="30" t="n"/>
      <c r="I205" s="30" t="n"/>
      <c r="J205" s="30" t="n"/>
      <c r="K205" s="30" t="n"/>
      <c r="L205" s="30" t="n"/>
      <c r="M205" s="30" t="n"/>
      <c r="O205" s="30" t="n"/>
      <c r="P205" s="30" t="n"/>
    </row>
    <row r="206" ht="33" customFormat="1" customHeight="1" s="31">
      <c r="A206" s="25" t="n"/>
      <c r="B206" s="139" t="n">
        <v>132</v>
      </c>
      <c r="C206" s="140" t="n">
        <v>2</v>
      </c>
      <c r="D206" s="47" t="n">
        <v>6</v>
      </c>
      <c r="E206" s="48" t="inlineStr">
        <is>
          <t>기초</t>
        </is>
      </c>
      <c r="F206" s="49" t="inlineStr">
        <is>
          <t>S.C.W(Soil Cement Wall) 공법</t>
        </is>
      </c>
      <c r="G206" s="50" t="inlineStr">
        <is>
          <t>6. SCW(Soil Cement Wall) 공법의 안내벽(Guide Wall), 플랜트(Plant)의 설치와 천공 및 시멘트 밀크 주입 시 안전조치 사항을 설명하시오.</t>
        </is>
      </c>
      <c r="H206" s="30" t="n"/>
      <c r="I206" s="30" t="n"/>
      <c r="J206" s="30" t="n"/>
      <c r="K206" s="30" t="n"/>
      <c r="L206" s="30" t="n"/>
      <c r="M206" s="30" t="n"/>
      <c r="O206" s="30" t="n"/>
      <c r="P206" s="30" t="n"/>
    </row>
    <row r="207" customFormat="1" s="31">
      <c r="A207" s="25" t="n"/>
      <c r="B207" s="139" t="n">
        <v>132</v>
      </c>
      <c r="C207" s="140" t="n">
        <v>3</v>
      </c>
      <c r="D207" s="47" t="n">
        <v>1</v>
      </c>
      <c r="E207" s="48" t="inlineStr">
        <is>
          <t>안전관리론</t>
        </is>
      </c>
      <c r="F207" s="49" t="inlineStr">
        <is>
          <t>안전심리_가현운동</t>
        </is>
      </c>
      <c r="G207" s="50" t="inlineStr">
        <is>
          <t>1. 가현운동의 종류와 재해발생 원인 및 예방대책에 대하여 설명하시오.</t>
        </is>
      </c>
      <c r="H207" s="30" t="n"/>
      <c r="I207" s="30" t="n"/>
      <c r="J207" s="30" t="n"/>
      <c r="K207" s="30" t="n"/>
      <c r="L207" s="30" t="n"/>
      <c r="M207" s="30" t="n"/>
      <c r="O207" s="30" t="n"/>
      <c r="P207" s="30" t="n"/>
    </row>
    <row r="208" customFormat="1" s="31">
      <c r="A208" s="25" t="n"/>
      <c r="B208" s="139" t="n">
        <v>132</v>
      </c>
      <c r="C208" s="140" t="n">
        <v>3</v>
      </c>
      <c r="D208" s="47" t="n">
        <v>2</v>
      </c>
      <c r="E208" s="48" t="inlineStr">
        <is>
          <t>계절재해</t>
        </is>
      </c>
      <c r="F208" s="49" t="inlineStr">
        <is>
          <t>계절별 안전관리</t>
        </is>
      </c>
      <c r="G208" s="50" t="inlineStr">
        <is>
          <t>2. 공사현장에서 계절별로 발생할 수 있는 재해 위험요인과 안전대책을 설명하시오.</t>
        </is>
      </c>
      <c r="H208" s="30" t="n"/>
      <c r="I208" s="30" t="n"/>
      <c r="J208" s="30" t="n"/>
      <c r="K208" s="30" t="n"/>
      <c r="L208" s="30" t="n"/>
      <c r="M208" s="30" t="n"/>
      <c r="O208" s="30" t="n"/>
      <c r="P208" s="30" t="n"/>
    </row>
    <row r="209" ht="33" customFormat="1" customHeight="1" s="31">
      <c r="A209" s="25" t="n"/>
      <c r="B209" s="139" t="n">
        <v>132</v>
      </c>
      <c r="C209" s="140" t="n">
        <v>3</v>
      </c>
      <c r="D209" s="47" t="n">
        <v>3</v>
      </c>
      <c r="E209" s="48" t="inlineStr">
        <is>
          <t>철골</t>
        </is>
      </c>
      <c r="F209" s="49" t="inlineStr">
        <is>
          <t>사전조사 및 작업계획서</t>
        </is>
      </c>
      <c r="G209" s="50" t="inlineStr">
        <is>
          <t>3. 철골공사 안전관리를 위한 사전 준비사항, 철골 반입 시 준수사항, 안전시설물 설치 계획에 대하여 설명하시오.</t>
        </is>
      </c>
      <c r="H209" s="30" t="n"/>
      <c r="I209" s="30" t="n"/>
      <c r="J209" s="30" t="n"/>
      <c r="K209" s="30" t="n"/>
      <c r="L209" s="30" t="n"/>
      <c r="M209" s="30" t="n"/>
      <c r="O209" s="30" t="n"/>
      <c r="P209" s="30" t="n"/>
    </row>
    <row r="210" ht="33" customFormat="1" customHeight="1" s="31">
      <c r="A210" s="25" t="n"/>
      <c r="B210" s="139" t="n">
        <v>132</v>
      </c>
      <c r="C210" s="140" t="n">
        <v>3</v>
      </c>
      <c r="D210" s="47" t="n">
        <v>4</v>
      </c>
      <c r="E210" s="48" t="inlineStr">
        <is>
          <t>안전관리론</t>
        </is>
      </c>
      <c r="F210" s="49" t="inlineStr">
        <is>
          <t>비정상 작업, 작업전 안전대책</t>
        </is>
      </c>
      <c r="G210" s="50" t="inlineStr">
        <is>
          <t>4. 비정상 작업의 특징과 위험요인을 설명하고, 작업시작 전 작업지시 요령 및 안전대책에 대하여 설명하시오.</t>
        </is>
      </c>
      <c r="H210" s="30" t="n"/>
      <c r="I210" s="30" t="n"/>
      <c r="J210" s="30" t="n"/>
      <c r="K210" s="30" t="n"/>
      <c r="L210" s="30" t="n"/>
      <c r="M210" s="30" t="n"/>
      <c r="O210" s="30" t="n"/>
      <c r="P210" s="30" t="n"/>
    </row>
    <row r="211" ht="33" customFormat="1" customHeight="1" s="31">
      <c r="A211" s="25" t="n"/>
      <c r="B211" s="137" t="n">
        <v>132</v>
      </c>
      <c r="C211" s="138" t="n">
        <v>3</v>
      </c>
      <c r="D211" s="53" t="n">
        <v>5</v>
      </c>
      <c r="E211" s="54" t="inlineStr">
        <is>
          <t>산안법</t>
        </is>
      </c>
      <c r="F211" s="55" t="inlineStr">
        <is>
          <t>안전관리비</t>
        </is>
      </c>
      <c r="G211" s="56" t="inlineStr">
        <is>
          <t>5. 산업안전보건법과 건설기술진흥법의 건설안전 주요 내용을 비교하고, 산업안전보건관리비와 안전관리비를 설명하시오.</t>
        </is>
      </c>
      <c r="H211" s="30" t="n"/>
      <c r="I211" s="30" t="n"/>
      <c r="J211" s="30" t="n"/>
      <c r="K211" s="30" t="n"/>
      <c r="L211" s="30" t="n"/>
      <c r="M211" s="30" t="n"/>
      <c r="O211" s="30" t="n"/>
      <c r="P211" s="30" t="n"/>
    </row>
    <row r="212" customFormat="1" s="31">
      <c r="A212" s="25" t="n"/>
      <c r="B212" s="139" t="n">
        <v>132</v>
      </c>
      <c r="C212" s="140" t="n">
        <v>3</v>
      </c>
      <c r="D212" s="47" t="n">
        <v>6</v>
      </c>
      <c r="E212" s="48" t="inlineStr">
        <is>
          <t>재해유형</t>
        </is>
      </c>
      <c r="F212" s="49" t="inlineStr">
        <is>
          <t>전기재해</t>
        </is>
      </c>
      <c r="G212" s="50" t="inlineStr">
        <is>
          <t>6. 건설현장 가설전기 작업 시 발생 가능한 재해유형과 유형별 안전대책을 설명하시오.</t>
        </is>
      </c>
      <c r="H212" s="30" t="n"/>
      <c r="I212" s="30" t="n"/>
      <c r="J212" s="30" t="n"/>
      <c r="K212" s="30" t="n"/>
      <c r="L212" s="30" t="n"/>
      <c r="M212" s="30" t="n"/>
      <c r="O212" s="30" t="n"/>
      <c r="P212" s="30" t="n"/>
    </row>
    <row r="213" ht="33" customFormat="1" customHeight="1" s="31">
      <c r="A213" s="25" t="n"/>
      <c r="B213" s="139" t="n">
        <v>132</v>
      </c>
      <c r="C213" s="140" t="n">
        <v>4</v>
      </c>
      <c r="D213" s="47" t="n">
        <v>1</v>
      </c>
      <c r="E213" s="48" t="inlineStr">
        <is>
          <t>안전관리론</t>
        </is>
      </c>
      <c r="F213" s="49" t="inlineStr">
        <is>
          <t>휴먼에러</t>
        </is>
      </c>
      <c r="G213" s="50" t="inlineStr">
        <is>
          <t>1. 휴먼에러(Human Error) 유형과 발생원인, 요인, 메커니즘(Mechanism), 예방원칙과 Zero화를 위한 대책에 대하여 설명하시오.</t>
        </is>
      </c>
      <c r="H213" s="30" t="n"/>
      <c r="I213" s="30" t="n"/>
      <c r="J213" s="30" t="n"/>
      <c r="K213" s="30" t="n"/>
      <c r="L213" s="30" t="n"/>
      <c r="M213" s="30" t="n"/>
      <c r="O213" s="30" t="n"/>
      <c r="P213" s="30" t="n"/>
    </row>
    <row r="214" customFormat="1" s="31">
      <c r="A214" s="25" t="n"/>
      <c r="B214" s="139" t="n">
        <v>132</v>
      </c>
      <c r="C214" s="140" t="n">
        <v>4</v>
      </c>
      <c r="D214" s="47" t="n">
        <v>2</v>
      </c>
      <c r="E214" s="48" t="inlineStr">
        <is>
          <t>해체공사</t>
        </is>
      </c>
      <c r="F214" s="49" t="inlineStr">
        <is>
          <t>해체공사</t>
        </is>
      </c>
      <c r="G214" s="50" t="inlineStr">
        <is>
          <t>2. 건축물관리법 상 해체계획서 작성사항 및 해체공사 시 안전 유의사항에 대하여 설명하시오.</t>
        </is>
      </c>
      <c r="H214" s="30" t="n"/>
      <c r="I214" s="30" t="n"/>
      <c r="J214" s="30" t="n"/>
      <c r="K214" s="30" t="n"/>
      <c r="L214" s="30" t="n"/>
      <c r="M214" s="30" t="n"/>
      <c r="O214" s="30" t="n"/>
      <c r="P214" s="30" t="n"/>
    </row>
    <row r="215" customFormat="1" s="31">
      <c r="A215" s="25" t="n"/>
      <c r="B215" s="139" t="n">
        <v>132</v>
      </c>
      <c r="C215" s="140" t="n">
        <v>4</v>
      </c>
      <c r="D215" s="47" t="n">
        <v>3</v>
      </c>
      <c r="E215" s="48" t="inlineStr">
        <is>
          <t>재해유형</t>
        </is>
      </c>
      <c r="F215" s="49" t="inlineStr">
        <is>
          <t>지붕 채광창</t>
        </is>
      </c>
      <c r="G215" s="50" t="inlineStr">
        <is>
          <t>3. 경사지붕 시공작업 시 위험요소, 위험 방지대책, 안전시설물의 설치기준, 안전대책에 대하여 설명하시오.</t>
        </is>
      </c>
      <c r="H215" s="30" t="n"/>
      <c r="I215" s="30" t="n"/>
      <c r="J215" s="30" t="n"/>
      <c r="K215" s="30" t="n"/>
      <c r="L215" s="30" t="n"/>
      <c r="M215" s="30" t="n"/>
      <c r="O215" s="30" t="n"/>
      <c r="P215" s="30" t="n"/>
    </row>
    <row r="216" ht="33" customFormat="1" customHeight="1" s="31">
      <c r="A216" s="25" t="n"/>
      <c r="B216" s="139" t="n">
        <v>132</v>
      </c>
      <c r="C216" s="140" t="n">
        <v>4</v>
      </c>
      <c r="D216" s="47" t="n">
        <v>4</v>
      </c>
      <c r="E216" s="48" t="inlineStr">
        <is>
          <t>기초</t>
        </is>
      </c>
      <c r="F216" s="49" t="inlineStr">
        <is>
          <t>계측관리</t>
        </is>
      </c>
      <c r="G216" s="50" t="inlineStr">
        <is>
          <t>4. 도심지 지하굴착공사 시 인접 건물의 사전조사 항목 및 굴착공사의 계측기 배치기준, 계측방법에 대하여 설명하시오.</t>
        </is>
      </c>
      <c r="H216" s="30" t="n"/>
      <c r="I216" s="30" t="n"/>
      <c r="J216" s="30" t="n"/>
      <c r="K216" s="30" t="n"/>
      <c r="L216" s="30" t="n"/>
      <c r="M216" s="30" t="n"/>
      <c r="O216" s="30" t="n"/>
      <c r="P216" s="30" t="n"/>
    </row>
    <row r="217" ht="33" customFormat="1" customHeight="1" s="31">
      <c r="A217" s="25" t="n"/>
      <c r="B217" s="139" t="n">
        <v>132</v>
      </c>
      <c r="C217" s="140" t="n">
        <v>4</v>
      </c>
      <c r="D217" s="47" t="n">
        <v>5</v>
      </c>
      <c r="E217" s="48" t="inlineStr">
        <is>
          <t>시설물안전법</t>
        </is>
      </c>
      <c r="F217" s="49" t="inlineStr">
        <is>
          <t>안전점검 정밀안전진단</t>
        </is>
      </c>
      <c r="G217" s="50" t="inlineStr">
        <is>
          <t>5. 시설물의 안전 및 유지관리에 관한 특별법 상 안전점검의 종류, 안전점검·정밀안전진단 및 성능평가 실시시기, 시설물 안전등급 기준에 대하여 설명하시오.</t>
        </is>
      </c>
      <c r="H217" s="30" t="n"/>
      <c r="I217" s="30" t="n"/>
      <c r="J217" s="30" t="n"/>
      <c r="K217" s="30" t="n"/>
      <c r="L217" s="30" t="n"/>
      <c r="M217" s="30" t="n"/>
      <c r="O217" s="30" t="n"/>
      <c r="P217" s="30" t="n"/>
    </row>
    <row r="218" ht="33" customFormat="1" customHeight="1" s="31">
      <c r="A218" s="25" t="n"/>
      <c r="B218" s="139" t="n">
        <v>132</v>
      </c>
      <c r="C218" s="140" t="n">
        <v>4</v>
      </c>
      <c r="D218" s="47" t="n">
        <v>6</v>
      </c>
      <c r="E218" s="48" t="inlineStr">
        <is>
          <t>건진법</t>
        </is>
      </c>
      <c r="F218" s="49" t="inlineStr">
        <is>
          <t>안전관리계획서</t>
        </is>
      </c>
      <c r="G218" s="50" t="inlineStr">
        <is>
          <t>6. 건설기술진흥법 상 안전관리계획서와 소규모 안전관리계획서 수립대상 및 계획수립 기준에 포함되어야 할 사항에 대하여 비교하여 설명하시오.</t>
        </is>
      </c>
      <c r="H218" s="30" t="n"/>
      <c r="I218" s="30" t="n"/>
      <c r="J218" s="30" t="n"/>
      <c r="K218" s="30" t="n"/>
      <c r="L218" s="30" t="n"/>
      <c r="M218" s="30" t="n"/>
      <c r="O218" s="30" t="n"/>
      <c r="P218" s="30" t="n"/>
    </row>
    <row r="219" customFormat="1" s="31">
      <c r="A219" s="25" t="n"/>
      <c r="B219" s="125" t="n">
        <v>131</v>
      </c>
      <c r="C219" s="126" t="n">
        <v>1</v>
      </c>
      <c r="D219" s="26" t="n">
        <v>1</v>
      </c>
      <c r="E219" s="27" t="inlineStr">
        <is>
          <t>안전관리론</t>
        </is>
      </c>
      <c r="F219" s="28" t="inlineStr">
        <is>
          <t>재해예방의 4원칙</t>
        </is>
      </c>
      <c r="G219" s="34" t="inlineStr">
        <is>
          <t>1. 재해예방의 4원칙</t>
        </is>
      </c>
      <c r="H219" s="30" t="n"/>
      <c r="I219" s="30" t="n"/>
      <c r="J219" s="30" t="n"/>
      <c r="K219" s="30" t="n"/>
      <c r="L219" s="30" t="n"/>
      <c r="M219" s="30" t="n"/>
      <c r="O219" s="30" t="n"/>
      <c r="P219" s="30" t="n"/>
    </row>
    <row r="220" customFormat="1" s="31">
      <c r="A220" s="25" t="n"/>
      <c r="B220" s="125" t="n">
        <v>131</v>
      </c>
      <c r="C220" s="126" t="n">
        <v>1</v>
      </c>
      <c r="D220" s="26" t="n">
        <v>2</v>
      </c>
      <c r="E220" s="27" t="inlineStr">
        <is>
          <t>건진법</t>
        </is>
      </c>
      <c r="F220" s="28" t="inlineStr">
        <is>
          <t>재사용 가설기자재</t>
        </is>
      </c>
      <c r="G220" s="34" t="inlineStr">
        <is>
          <t>2. 재사용 가설기자재 폐기 및 성능 기준, 현장관리 요령</t>
        </is>
      </c>
      <c r="H220" s="30" t="n"/>
      <c r="I220" s="30" t="n"/>
      <c r="J220" s="30" t="n"/>
      <c r="K220" s="30" t="n"/>
      <c r="L220" s="30" t="n"/>
      <c r="M220" s="30" t="n"/>
      <c r="O220" s="30" t="n"/>
      <c r="P220" s="30" t="n"/>
    </row>
    <row r="221" customFormat="1" s="31">
      <c r="A221" s="25" t="n"/>
      <c r="B221" s="125" t="n">
        <v>131</v>
      </c>
      <c r="C221" s="126" t="n">
        <v>1</v>
      </c>
      <c r="D221" s="26" t="n">
        <v>3</v>
      </c>
      <c r="E221" s="27" t="inlineStr">
        <is>
          <t>안전관리론</t>
        </is>
      </c>
      <c r="F221" s="28" t="inlineStr">
        <is>
          <t>위험감수성</t>
        </is>
      </c>
      <c r="G221" s="34" t="inlineStr">
        <is>
          <t>3. 위험감수성과 위험감행성의 조합에 따른 인간의 행동 4가지 유형</t>
        </is>
      </c>
      <c r="H221" s="30" t="n"/>
      <c r="I221" s="30" t="n"/>
      <c r="J221" s="30" t="n"/>
      <c r="K221" s="30" t="n"/>
      <c r="L221" s="30" t="n"/>
      <c r="M221" s="30" t="n"/>
      <c r="O221" s="30" t="n"/>
      <c r="P221" s="30" t="n"/>
    </row>
    <row r="222" customFormat="1" s="31">
      <c r="A222" s="25" t="n"/>
      <c r="B222" s="125" t="n">
        <v>131</v>
      </c>
      <c r="C222" s="126" t="n">
        <v>1</v>
      </c>
      <c r="D222" s="26" t="n">
        <v>4</v>
      </c>
      <c r="E222" s="27" t="inlineStr">
        <is>
          <t>안전관리론</t>
        </is>
      </c>
      <c r="F222" s="28" t="inlineStr">
        <is>
          <t>사건수 분석</t>
        </is>
      </c>
      <c r="G222" s="34" t="inlineStr">
        <is>
          <t>4. 사건수 분석 기법 (Event Tree Analysis)</t>
        </is>
      </c>
      <c r="H222" s="30" t="n"/>
      <c r="I222" s="30" t="n"/>
      <c r="J222" s="30" t="n"/>
      <c r="K222" s="30" t="n"/>
      <c r="L222" s="30" t="n"/>
      <c r="M222" s="30" t="n"/>
      <c r="O222" s="30" t="n"/>
      <c r="P222" s="30" t="n"/>
    </row>
    <row r="223" customFormat="1" s="31">
      <c r="A223" s="25" t="n"/>
      <c r="B223" s="125" t="n">
        <v>131</v>
      </c>
      <c r="C223" s="126" t="n">
        <v>1</v>
      </c>
      <c r="D223" s="26" t="n">
        <v>5</v>
      </c>
      <c r="E223" s="27" t="inlineStr">
        <is>
          <t>산안법</t>
        </is>
      </c>
      <c r="F223" s="28" t="inlineStr">
        <is>
          <t>소음</t>
        </is>
      </c>
      <c r="G223" s="34" t="inlineStr">
        <is>
          <t>5. 충격 소음 작업</t>
        </is>
      </c>
      <c r="H223" s="30" t="n"/>
      <c r="I223" s="30" t="n"/>
      <c r="J223" s="30" t="n"/>
      <c r="K223" s="30" t="n"/>
      <c r="L223" s="30" t="n"/>
      <c r="M223" s="30" t="n"/>
      <c r="O223" s="30" t="n"/>
      <c r="P223" s="30" t="n"/>
    </row>
    <row r="224" customFormat="1" s="31">
      <c r="A224" s="25" t="n"/>
      <c r="B224" s="125" t="n">
        <v>131</v>
      </c>
      <c r="C224" s="126" t="n">
        <v>1</v>
      </c>
      <c r="D224" s="26" t="n">
        <v>6</v>
      </c>
      <c r="E224" s="27" t="inlineStr">
        <is>
          <t>산안법</t>
        </is>
      </c>
      <c r="F224" s="28" t="inlineStr">
        <is>
          <t>보건관리자</t>
        </is>
      </c>
      <c r="G224" s="34" t="inlineStr">
        <is>
          <t>6. 보건관리자 선임 및 대상 사업장</t>
        </is>
      </c>
      <c r="H224" s="30" t="n"/>
      <c r="I224" s="30" t="n"/>
      <c r="J224" s="30" t="n"/>
      <c r="K224" s="30" t="n"/>
      <c r="L224" s="30" t="n"/>
      <c r="M224" s="30" t="n"/>
      <c r="O224" s="30" t="n"/>
      <c r="P224" s="30" t="n"/>
    </row>
    <row r="225" customFormat="1" s="31">
      <c r="A225" s="25" t="n"/>
      <c r="B225" s="125" t="n">
        <v>131</v>
      </c>
      <c r="C225" s="126" t="n">
        <v>1</v>
      </c>
      <c r="D225" s="26" t="n">
        <v>7</v>
      </c>
      <c r="E225" s="27" t="inlineStr">
        <is>
          <t>기타</t>
        </is>
      </c>
      <c r="F225" s="28" t="inlineStr">
        <is>
          <t>재난 및 안전관리 기본법</t>
        </is>
      </c>
      <c r="G225" s="34" t="inlineStr">
        <is>
          <t>7. 재난 및 안전관리 기본법상 재난사태의 선포 및 조치 내용</t>
        </is>
      </c>
      <c r="H225" s="30" t="n"/>
      <c r="I225" s="30" t="n"/>
      <c r="J225" s="30" t="n"/>
      <c r="K225" s="30" t="n"/>
      <c r="L225" s="30" t="n"/>
      <c r="M225" s="30" t="n"/>
      <c r="O225" s="30" t="n"/>
      <c r="P225" s="30" t="n"/>
    </row>
    <row r="226" customFormat="1" s="31">
      <c r="A226" s="25" t="n"/>
      <c r="B226" s="125" t="n">
        <v>131</v>
      </c>
      <c r="C226" s="126" t="n">
        <v>1</v>
      </c>
      <c r="D226" s="26" t="n">
        <v>8</v>
      </c>
      <c r="E226" s="27" t="inlineStr">
        <is>
          <t>토공</t>
        </is>
      </c>
      <c r="F226" s="28" t="inlineStr">
        <is>
          <t>록볼트</t>
        </is>
      </c>
      <c r="G226" s="34" t="inlineStr">
        <is>
          <t>8. 절토사면 낙석예방 록볼트(Rock Bolt) 공법</t>
        </is>
      </c>
      <c r="H226" s="30" t="n"/>
      <c r="I226" s="30" t="n"/>
      <c r="J226" s="30" t="n"/>
      <c r="K226" s="30" t="n"/>
      <c r="L226" s="30" t="n"/>
      <c r="M226" s="30" t="n"/>
      <c r="O226" s="30" t="n"/>
      <c r="P226" s="30" t="n"/>
    </row>
    <row r="227" customFormat="1" s="31">
      <c r="A227" s="25" t="n"/>
      <c r="B227" s="125" t="n">
        <v>131</v>
      </c>
      <c r="C227" s="126" t="n">
        <v>1</v>
      </c>
      <c r="D227" s="26" t="n">
        <v>9</v>
      </c>
      <c r="E227" s="27" t="inlineStr">
        <is>
          <t>건축</t>
        </is>
      </c>
      <c r="F227" s="28" t="inlineStr">
        <is>
          <t>무량판슬래브</t>
        </is>
      </c>
      <c r="G227" s="34" t="inlineStr">
        <is>
          <t>9. 무량판구조의 전단보강철근</t>
        </is>
      </c>
      <c r="H227" s="30" t="n"/>
      <c r="I227" s="30" t="n"/>
      <c r="J227" s="30" t="n"/>
      <c r="K227" s="30" t="n"/>
      <c r="L227" s="30" t="n"/>
      <c r="M227" s="30" t="n"/>
      <c r="O227" s="30" t="n"/>
      <c r="P227" s="30" t="n"/>
    </row>
    <row r="228" customFormat="1" s="31">
      <c r="A228" s="25" t="n"/>
      <c r="B228" s="125" t="n">
        <v>131</v>
      </c>
      <c r="C228" s="126" t="n">
        <v>1</v>
      </c>
      <c r="D228" s="26" t="n">
        <v>10</v>
      </c>
      <c r="E228" s="27" t="inlineStr">
        <is>
          <t>건설기계</t>
        </is>
      </c>
      <c r="F228" s="28" t="inlineStr">
        <is>
          <t>고소작업대</t>
        </is>
      </c>
      <c r="G228" s="34" t="inlineStr">
        <is>
          <t>10. 차량탑재형 고소작업대의 출입문 안전조치와 작업 시 대상별 안전조치 사항</t>
        </is>
      </c>
      <c r="H228" s="30" t="n"/>
      <c r="I228" s="30" t="n"/>
      <c r="J228" s="30" t="n"/>
      <c r="K228" s="30" t="n"/>
      <c r="L228" s="30" t="n"/>
      <c r="M228" s="30" t="n"/>
      <c r="O228" s="30" t="n"/>
      <c r="P228" s="30" t="n"/>
    </row>
    <row r="229" customFormat="1" s="31">
      <c r="A229" s="25" t="n"/>
      <c r="B229" s="125" t="n">
        <v>131</v>
      </c>
      <c r="C229" s="126" t="n">
        <v>1</v>
      </c>
      <c r="D229" s="26" t="n">
        <v>11</v>
      </c>
      <c r="E229" s="27" t="inlineStr">
        <is>
          <t>시설물안전법</t>
        </is>
      </c>
      <c r="F229" s="28" t="inlineStr">
        <is>
          <t>제3종시설물</t>
        </is>
      </c>
      <c r="G229" s="34" t="inlineStr">
        <is>
          <t>11. 제 3종 시설물 지정대상 및 시설물 통합정보관리시스템(FMS) 입력사항</t>
        </is>
      </c>
      <c r="H229" s="30" t="n"/>
      <c r="I229" s="30" t="n"/>
      <c r="J229" s="30" t="n"/>
      <c r="K229" s="30" t="n"/>
      <c r="L229" s="30" t="n"/>
      <c r="M229" s="30" t="n"/>
      <c r="O229" s="30" t="n"/>
      <c r="P229" s="30" t="n"/>
    </row>
    <row r="230" customFormat="1" s="31">
      <c r="A230" s="25" t="n"/>
      <c r="B230" s="125" t="n">
        <v>131</v>
      </c>
      <c r="C230" s="126" t="n">
        <v>1</v>
      </c>
      <c r="D230" s="26" t="n">
        <v>12</v>
      </c>
      <c r="E230" s="27" t="inlineStr">
        <is>
          <t>제방 댐 항만</t>
        </is>
      </c>
      <c r="F230" s="28" t="inlineStr">
        <is>
          <t>사방댐</t>
        </is>
      </c>
      <c r="G230" s="34" t="inlineStr">
        <is>
          <t>12. 사방(砂防) 댐</t>
        </is>
      </c>
      <c r="H230" s="30" t="n"/>
      <c r="I230" s="30" t="n"/>
      <c r="J230" s="30" t="n"/>
      <c r="K230" s="30" t="n"/>
      <c r="L230" s="30" t="n"/>
      <c r="M230" s="30" t="n"/>
      <c r="O230" s="30" t="n"/>
      <c r="P230" s="30" t="n"/>
    </row>
    <row r="231" customFormat="1" s="31">
      <c r="A231" s="25" t="n"/>
      <c r="B231" s="125" t="n">
        <v>131</v>
      </c>
      <c r="C231" s="126" t="n">
        <v>1</v>
      </c>
      <c r="D231" s="26" t="n">
        <v>13</v>
      </c>
      <c r="E231" s="27" t="inlineStr">
        <is>
          <t>가설공사</t>
        </is>
      </c>
      <c r="F231" s="28" t="inlineStr">
        <is>
          <t>가설통로 사다리</t>
        </is>
      </c>
      <c r="G231" s="34" t="inlineStr">
        <is>
          <t>13. 가설 통로와 사다리식 통로의 설치 기준</t>
        </is>
      </c>
      <c r="H231" s="30" t="n"/>
      <c r="I231" s="30" t="n"/>
      <c r="J231" s="30" t="n"/>
      <c r="K231" s="30" t="n"/>
      <c r="L231" s="30" t="n"/>
      <c r="M231" s="30" t="n"/>
      <c r="O231" s="30" t="n"/>
      <c r="P231" s="30" t="n"/>
    </row>
    <row r="232" ht="33" customFormat="1" customHeight="1" s="31">
      <c r="A232" s="25" t="n"/>
      <c r="B232" s="125" t="n">
        <v>131</v>
      </c>
      <c r="C232" s="126" t="n">
        <v>2</v>
      </c>
      <c r="D232" s="26" t="n">
        <v>1</v>
      </c>
      <c r="E232" s="27" t="inlineStr">
        <is>
          <t>안전관리론</t>
        </is>
      </c>
      <c r="F232" s="28" t="inlineStr">
        <is>
          <t>재해통계</t>
        </is>
      </c>
      <c r="G232" s="34" t="inlineStr">
        <is>
          <t>1. 재해통계의 목적, 정량적 재해통계의 분류에 대하여 설명하고, 재해통계 작성 시 유의사항 및 분석방법에 대하여 설명하시오.</t>
        </is>
      </c>
      <c r="H232" s="30" t="n"/>
      <c r="I232" s="30" t="n"/>
      <c r="J232" s="30" t="n"/>
      <c r="K232" s="30" t="n"/>
      <c r="L232" s="30" t="n"/>
      <c r="M232" s="30" t="n"/>
      <c r="O232" s="30" t="n"/>
      <c r="P232" s="30" t="n"/>
    </row>
    <row r="233" ht="33" customFormat="1" customHeight="1" s="31">
      <c r="A233" s="25" t="n"/>
      <c r="B233" s="125" t="n">
        <v>131</v>
      </c>
      <c r="C233" s="126" t="n">
        <v>2</v>
      </c>
      <c r="D233" s="26" t="n">
        <v>2</v>
      </c>
      <c r="E233" s="27" t="inlineStr">
        <is>
          <t>산안법</t>
        </is>
      </c>
      <c r="F233" s="28" t="inlineStr">
        <is>
          <t>위험성 평가</t>
        </is>
      </c>
      <c r="G233" s="34" t="inlineStr">
        <is>
          <t>2. 사업장 위험성평가에 관한 지침(고용노동부 고시 제2023-19호)에 따른 위험성평가의 목적과 방법, 수행절차, 실시 시기별 종류에 대하여 설명하시오</t>
        </is>
      </c>
      <c r="H233" s="30" t="n"/>
      <c r="I233" s="30" t="n"/>
      <c r="J233" s="30" t="n"/>
      <c r="K233" s="30" t="n"/>
      <c r="L233" s="30" t="n"/>
      <c r="M233" s="30" t="n"/>
      <c r="O233" s="30" t="n"/>
      <c r="P233" s="30" t="n"/>
    </row>
    <row r="234" customFormat="1" s="31">
      <c r="A234" s="25" t="n"/>
      <c r="B234" s="125" t="n">
        <v>131</v>
      </c>
      <c r="C234" s="126" t="n">
        <v>2</v>
      </c>
      <c r="D234" s="26" t="n">
        <v>3</v>
      </c>
      <c r="E234" s="27" t="inlineStr">
        <is>
          <t>산안법</t>
        </is>
      </c>
      <c r="F234" s="28" t="inlineStr">
        <is>
          <t>안전보건교육</t>
        </is>
      </c>
      <c r="G234" s="34" t="inlineStr">
        <is>
          <t>3. 「산업안전보건법」상 안전보건교육의 교육과정별 교육내용, 대상, 시간에 대하여 설명하시오.</t>
        </is>
      </c>
      <c r="H234" s="30" t="n"/>
      <c r="I234" s="30" t="n"/>
      <c r="J234" s="30" t="n"/>
      <c r="K234" s="30" t="n"/>
      <c r="L234" s="30" t="n"/>
      <c r="M234" s="30" t="n"/>
      <c r="O234" s="30" t="n"/>
      <c r="P234" s="30" t="n"/>
    </row>
    <row r="235" ht="33" customFormat="1" customHeight="1" s="31">
      <c r="A235" s="25" t="n"/>
      <c r="B235" s="125" t="n">
        <v>131</v>
      </c>
      <c r="C235" s="126" t="n">
        <v>2</v>
      </c>
      <c r="D235" s="26" t="n">
        <v>4</v>
      </c>
      <c r="E235" s="27" t="inlineStr">
        <is>
          <t>기초</t>
        </is>
      </c>
      <c r="F235" s="28" t="inlineStr">
        <is>
          <t>굴착공사</t>
        </is>
      </c>
      <c r="G235" s="34" t="inlineStr">
        <is>
          <t>4. 건설공사 현장의 굴착작업을 실시하는 경우 지반 종류별 안전기울기 기준을 설명하고, 굴착작업 계획수립 및 준비사항과 예상재해 중 붕괴재해 예방대책에 대하여 설명하시오.</t>
        </is>
      </c>
      <c r="H235" s="30" t="n"/>
      <c r="I235" s="30" t="n"/>
      <c r="J235" s="30" t="n"/>
      <c r="K235" s="30" t="n"/>
      <c r="L235" s="30" t="n"/>
      <c r="M235" s="30" t="n"/>
      <c r="O235" s="30" t="n"/>
      <c r="P235" s="30" t="n"/>
    </row>
    <row r="236" ht="33" customFormat="1" customHeight="1" s="31">
      <c r="A236" s="25" t="n"/>
      <c r="B236" s="125" t="n">
        <v>131</v>
      </c>
      <c r="C236" s="126" t="n">
        <v>2</v>
      </c>
      <c r="D236" s="26" t="n">
        <v>5</v>
      </c>
      <c r="E236" s="27" t="inlineStr">
        <is>
          <t>가설공사</t>
        </is>
      </c>
      <c r="F236" s="28" t="inlineStr">
        <is>
          <t>벽이음 비계</t>
        </is>
      </c>
      <c r="G236" s="34" t="inlineStr">
        <is>
          <t>5. 강관비계와 시스템비계 조립 시 각각의 벽이음 설치기준과 벽이음 위치를 설명하고, 벽이음 설치가 어려운 경우 설치방법에 대하여 설명하시오.</t>
        </is>
      </c>
      <c r="H236" s="30" t="n"/>
      <c r="I236" s="30" t="n"/>
      <c r="J236" s="30" t="n"/>
      <c r="K236" s="30" t="n"/>
      <c r="L236" s="30" t="n"/>
      <c r="M236" s="30" t="n"/>
      <c r="O236" s="30" t="n"/>
      <c r="P236" s="30" t="n"/>
    </row>
    <row r="237" ht="33" customFormat="1" customHeight="1" s="31">
      <c r="A237" s="25" t="n"/>
      <c r="B237" s="125" t="n">
        <v>131</v>
      </c>
      <c r="C237" s="126" t="n">
        <v>2</v>
      </c>
      <c r="D237" s="26" t="n">
        <v>6</v>
      </c>
      <c r="E237" s="27" t="inlineStr">
        <is>
          <t>건설기계</t>
        </is>
      </c>
      <c r="F237" s="28" t="inlineStr">
        <is>
          <t>항타기 항발기</t>
        </is>
      </c>
      <c r="G237" s="34" t="inlineStr">
        <is>
          <t>6. 항타기 및 항발기의 조립·해체 시 준수사항, 점검사항, 무너짐 방지대책 및 권상용 와이어로프 사용 시 준수사항에 대하여 설명하시오.</t>
        </is>
      </c>
      <c r="H237" s="30" t="n"/>
      <c r="I237" s="30" t="n"/>
      <c r="J237" s="30" t="n"/>
      <c r="K237" s="30" t="n"/>
      <c r="L237" s="30" t="n"/>
      <c r="M237" s="30" t="n"/>
      <c r="O237" s="30" t="n"/>
      <c r="P237" s="30" t="n"/>
    </row>
    <row r="238" ht="33" customFormat="1" customHeight="1" s="31">
      <c r="A238" s="25" t="n"/>
      <c r="B238" s="125" t="n">
        <v>131</v>
      </c>
      <c r="C238" s="126" t="n">
        <v>3</v>
      </c>
      <c r="D238" s="26" t="n">
        <v>1</v>
      </c>
      <c r="E238" s="27" t="inlineStr">
        <is>
          <t>안전관리론</t>
        </is>
      </c>
      <c r="F238" s="28" t="inlineStr">
        <is>
          <t>인간의 의식수준 휴먼에러</t>
        </is>
      </c>
      <c r="G238" s="34" t="inlineStr">
        <is>
          <t>1. 인간의 의식수준과 부주의 행동관계에 대하여 설명하고, 휴먼 에러의 심리적 과오에
대하여 설명하시오.</t>
        </is>
      </c>
      <c r="H238" s="30" t="n"/>
      <c r="I238" s="30" t="n"/>
      <c r="J238" s="30" t="n"/>
      <c r="K238" s="30" t="n"/>
      <c r="L238" s="30" t="n"/>
      <c r="M238" s="30" t="n"/>
      <c r="O238" s="30" t="n"/>
      <c r="P238" s="30" t="n"/>
    </row>
    <row r="239" ht="33" customFormat="1" customHeight="1" s="31">
      <c r="A239" s="25" t="n"/>
      <c r="B239" s="125" t="n">
        <v>131</v>
      </c>
      <c r="C239" s="126" t="n">
        <v>3</v>
      </c>
      <c r="D239" s="26" t="n">
        <v>2</v>
      </c>
      <c r="E239" s="27" t="inlineStr">
        <is>
          <t>건설기계</t>
        </is>
      </c>
      <c r="F239" s="28" t="inlineStr">
        <is>
          <t>굴착기</t>
        </is>
      </c>
      <c r="G239" s="34" t="inlineStr">
        <is>
          <t>2. 굴착기를 사용한 인양작업 시 기준 및 준수사항에 대하여 설명하고, 굴착기의 작업·
이송·수리 시 안전관리 대책에 대하여 설명하시오</t>
        </is>
      </c>
      <c r="H239" s="30" t="n"/>
      <c r="I239" s="30" t="n"/>
      <c r="J239" s="30" t="n"/>
      <c r="K239" s="30" t="n"/>
      <c r="L239" s="30" t="n"/>
      <c r="M239" s="30" t="n"/>
      <c r="O239" s="30" t="n"/>
      <c r="P239" s="30" t="n"/>
    </row>
    <row r="240" ht="49.5" customFormat="1" customHeight="1" s="31">
      <c r="A240" s="25" t="n"/>
      <c r="B240" s="125" t="n">
        <v>131</v>
      </c>
      <c r="C240" s="126" t="n">
        <v>3</v>
      </c>
      <c r="D240" s="26" t="n">
        <v>3</v>
      </c>
      <c r="E240" s="27" t="inlineStr">
        <is>
          <t>산안법</t>
        </is>
      </c>
      <c r="F240" s="28" t="inlineStr">
        <is>
          <t>가스폭발 위험물</t>
        </is>
      </c>
      <c r="G240" s="34" t="inlineStr">
        <is>
          <t>3. 「산업안전보건기준에 관한 규칙」상 가스폭발 및 분진폭발 위험장소 건축물의 내화
구조 기준에 대하여 설명하고, 위험물을 저장 취급하는 화학설비 및 부속설비 설치 시
폭발이나 화재 피해를 경감하기 위한 안전거리 기준 등 안전대책에 대하여 설명하시오.</t>
        </is>
      </c>
      <c r="H240" s="30" t="n"/>
      <c r="I240" s="30" t="n"/>
      <c r="J240" s="30" t="n"/>
      <c r="K240" s="30" t="n"/>
      <c r="L240" s="30" t="n"/>
      <c r="M240" s="30" t="n"/>
      <c r="O240" s="30" t="n"/>
      <c r="P240" s="30" t="n"/>
    </row>
    <row r="241" ht="33" customFormat="1" customHeight="1" s="31">
      <c r="A241" s="25" t="n"/>
      <c r="B241" s="125" t="n">
        <v>131</v>
      </c>
      <c r="C241" s="126" t="n">
        <v>3</v>
      </c>
      <c r="D241" s="26" t="n">
        <v>4</v>
      </c>
      <c r="E241" s="27" t="inlineStr">
        <is>
          <t>시설물안전법</t>
        </is>
      </c>
      <c r="F241" s="28" t="inlineStr">
        <is>
          <t>정밀안전진단</t>
        </is>
      </c>
      <c r="G241" s="34" t="inlineStr">
        <is>
          <t>4. 「시설물의 안전 및 유지관리에 관한 특별법」상 정밀안전진단 보고서에 포함되어야
할 사항에 대하여 설명하시오.</t>
        </is>
      </c>
      <c r="H241" s="30" t="n"/>
      <c r="I241" s="30" t="n"/>
      <c r="J241" s="30" t="n"/>
      <c r="K241" s="30" t="n"/>
      <c r="L241" s="30" t="n"/>
      <c r="M241" s="30" t="n"/>
      <c r="O241" s="30" t="n"/>
      <c r="P241" s="30" t="n"/>
    </row>
    <row r="242" customFormat="1" s="31">
      <c r="A242" s="25" t="n"/>
      <c r="B242" s="125" t="n">
        <v>131</v>
      </c>
      <c r="C242" s="126" t="n">
        <v>3</v>
      </c>
      <c r="D242" s="26" t="n">
        <v>5</v>
      </c>
      <c r="E242" s="27" t="inlineStr">
        <is>
          <t>기초</t>
        </is>
      </c>
      <c r="F242" s="28" t="inlineStr">
        <is>
          <t>옹벽</t>
        </is>
      </c>
      <c r="G242" s="34" t="inlineStr">
        <is>
          <t>5. 철근콘크리트 옹벽의 유형을 열거하고, 옹벽의 붕괴원인과 방지대책에 대하여 설명하시오.</t>
        </is>
      </c>
      <c r="H242" s="30" t="n"/>
      <c r="I242" s="30" t="n"/>
      <c r="J242" s="30" t="n"/>
      <c r="K242" s="30" t="n"/>
      <c r="L242" s="30" t="n"/>
      <c r="M242" s="30" t="n"/>
      <c r="O242" s="30" t="n"/>
      <c r="P242" s="30" t="n"/>
    </row>
    <row r="243" ht="33" customFormat="1" customHeight="1" s="31">
      <c r="A243" s="25" t="n"/>
      <c r="B243" s="125" t="n">
        <v>131</v>
      </c>
      <c r="C243" s="126" t="n">
        <v>3</v>
      </c>
      <c r="D243" s="26" t="n">
        <v>6</v>
      </c>
      <c r="E243" s="27" t="inlineStr">
        <is>
          <t>재해유형</t>
        </is>
      </c>
      <c r="F243" s="28" t="inlineStr">
        <is>
          <t>용접 화재감시자</t>
        </is>
      </c>
      <c r="G243" s="34" t="inlineStr">
        <is>
          <t>6. 건설현장 전기용접작업 시 발생 가능한 재해유형과 안전대책을 설명하고, 화재감시자에게
지급해야 할 보호구와 배치장소에 대하여 설명하시오.</t>
        </is>
      </c>
      <c r="H243" s="30" t="n"/>
      <c r="I243" s="30" t="n"/>
      <c r="J243" s="30" t="n"/>
      <c r="K243" s="30" t="n"/>
      <c r="L243" s="30" t="n"/>
      <c r="M243" s="30" t="n"/>
      <c r="O243" s="30" t="n"/>
      <c r="P243" s="30" t="n"/>
    </row>
    <row r="244" customFormat="1" s="31">
      <c r="A244" s="25" t="n"/>
      <c r="B244" s="125" t="n">
        <v>131</v>
      </c>
      <c r="C244" s="126" t="n">
        <v>4</v>
      </c>
      <c r="D244" s="26" t="n">
        <v>1</v>
      </c>
      <c r="E244" s="27" t="inlineStr">
        <is>
          <t>산안법</t>
        </is>
      </c>
      <c r="F244" s="28" t="inlineStr">
        <is>
          <t>근골격계 질환</t>
        </is>
      </c>
      <c r="G244" s="34" t="inlineStr">
        <is>
          <t>1. 건설현장 근로자의 근골격계 질환 발생원인과 예방대책에 대하여 설명하시오</t>
        </is>
      </c>
      <c r="H244" s="30" t="n"/>
      <c r="I244" s="30" t="n"/>
      <c r="J244" s="30" t="n"/>
      <c r="K244" s="30" t="n"/>
      <c r="L244" s="30" t="n"/>
      <c r="M244" s="30" t="n"/>
      <c r="O244" s="30" t="n"/>
      <c r="P244" s="30" t="n"/>
    </row>
    <row r="245" ht="33" customFormat="1" customHeight="1" s="31">
      <c r="A245" s="25" t="n"/>
      <c r="B245" s="125" t="n">
        <v>131</v>
      </c>
      <c r="C245" s="126" t="n">
        <v>4</v>
      </c>
      <c r="D245" s="26" t="n">
        <v>2</v>
      </c>
      <c r="E245" s="27" t="inlineStr">
        <is>
          <t>산안법</t>
        </is>
      </c>
      <c r="F245" s="28" t="inlineStr">
        <is>
          <t>산업안전보건위원회</t>
        </is>
      </c>
      <c r="G245" s="34" t="inlineStr">
        <is>
          <t>2. 산업안전보건위원회의 구성 대상과 역할, 회의개최 및 심의·의결 사항에 대하여 설명
하시오.</t>
        </is>
      </c>
      <c r="H245" s="30" t="n"/>
      <c r="I245" s="30" t="n"/>
      <c r="J245" s="30" t="n"/>
      <c r="K245" s="30" t="n"/>
      <c r="L245" s="30" t="n"/>
      <c r="M245" s="30" t="n"/>
      <c r="O245" s="30" t="n"/>
      <c r="P245" s="30" t="n"/>
    </row>
    <row r="246" ht="33" customFormat="1" customHeight="1" s="31">
      <c r="A246" s="25" t="n"/>
      <c r="B246" s="125" t="n">
        <v>131</v>
      </c>
      <c r="C246" s="126" t="n">
        <v>4</v>
      </c>
      <c r="D246" s="26" t="n">
        <v>3</v>
      </c>
      <c r="E246" s="27" t="inlineStr">
        <is>
          <t>기초</t>
        </is>
      </c>
      <c r="F246" s="28" t="inlineStr">
        <is>
          <t>굴착공사</t>
        </is>
      </c>
      <c r="G246" s="34" t="inlineStr">
        <is>
          <t>3. 도심지 굴착공사 시 지하매설물에 근접해서 작업하는 경우 굴착 영향에 의한 지하
매설물 보호와 안전사고를 예방하기 위한 안전대책에 대하여 설명하시오.</t>
        </is>
      </c>
      <c r="H246" s="30" t="n"/>
      <c r="I246" s="30" t="n"/>
      <c r="J246" s="30" t="n"/>
      <c r="K246" s="30" t="n"/>
      <c r="L246" s="30" t="n"/>
      <c r="M246" s="30" t="n"/>
      <c r="O246" s="30" t="n"/>
      <c r="P246" s="30" t="n"/>
    </row>
    <row r="247" customFormat="1" s="31">
      <c r="A247" s="25" t="n"/>
      <c r="B247" s="125" t="n">
        <v>131</v>
      </c>
      <c r="C247" s="126" t="n">
        <v>4</v>
      </c>
      <c r="D247" s="26" t="n">
        <v>4</v>
      </c>
      <c r="E247" s="27" t="inlineStr">
        <is>
          <t>건설기계</t>
        </is>
      </c>
      <c r="F247" s="28" t="inlineStr">
        <is>
          <t>곤돌라</t>
        </is>
      </c>
      <c r="G247" s="34" t="inlineStr">
        <is>
          <t>4. 외부 작업용 곤돌라 안전점검 사항과 작업 시 안전관리 사항에 대하여 설명하시오.</t>
        </is>
      </c>
      <c r="H247" s="30" t="n"/>
      <c r="I247" s="30" t="n"/>
      <c r="J247" s="30" t="n"/>
      <c r="K247" s="30" t="n"/>
      <c r="L247" s="30" t="n"/>
      <c r="M247" s="30" t="n"/>
      <c r="O247" s="30" t="n"/>
      <c r="P247" s="30" t="n"/>
    </row>
    <row r="248" customFormat="1" s="31">
      <c r="A248" s="25" t="n"/>
      <c r="B248" s="125" t="n">
        <v>131</v>
      </c>
      <c r="C248" s="126" t="n">
        <v>4</v>
      </c>
      <c r="D248" s="26" t="n">
        <v>5</v>
      </c>
      <c r="E248" s="27" t="inlineStr">
        <is>
          <t>제방 댐 항만</t>
        </is>
      </c>
      <c r="F248" s="28" t="inlineStr">
        <is>
          <t>제방 붕괴</t>
        </is>
      </c>
      <c r="G248" s="34" t="inlineStr">
        <is>
          <t>5. 하천제방(河川堤防)의 누수원인 및 붕괴 방지대책에 대하여 설명하시오.</t>
        </is>
      </c>
      <c r="H248" s="30" t="n"/>
      <c r="I248" s="30" t="n"/>
      <c r="J248" s="30" t="n"/>
      <c r="K248" s="30" t="n"/>
      <c r="L248" s="30" t="n"/>
      <c r="M248" s="30" t="n"/>
      <c r="O248" s="30" t="n"/>
      <c r="P248" s="30" t="n"/>
    </row>
    <row r="249" ht="33" customFormat="1" customHeight="1" s="31">
      <c r="A249" s="25" t="n"/>
      <c r="B249" s="125" t="n">
        <v>131</v>
      </c>
      <c r="C249" s="126" t="n">
        <v>4</v>
      </c>
      <c r="D249" s="26" t="n">
        <v>6</v>
      </c>
      <c r="E249" s="27" t="inlineStr">
        <is>
          <t>산안법</t>
        </is>
      </c>
      <c r="F249" s="28" t="inlineStr">
        <is>
          <t>안전보건대장</t>
        </is>
      </c>
      <c r="G249" s="34" t="inlineStr">
        <is>
          <t>6. 건설공사 재해 예방을 위하여 건설공사의 계획, 설계 및 시공 단계별로 작성하는 안전
보건대장에 대하여 설명하시오.</t>
        </is>
      </c>
      <c r="H249" s="30" t="n"/>
      <c r="I249" s="30" t="n"/>
      <c r="J249" s="30" t="n"/>
      <c r="K249" s="30" t="n"/>
      <c r="L249" s="30" t="n"/>
      <c r="M249" s="30" t="n"/>
      <c r="O249" s="30" t="n"/>
      <c r="P249" s="30" t="n"/>
    </row>
    <row r="250" customFormat="1" s="31">
      <c r="A250" s="25" t="n"/>
      <c r="B250" s="125" t="n">
        <v>130</v>
      </c>
      <c r="C250" s="126" t="n">
        <v>1</v>
      </c>
      <c r="D250" s="26" t="n">
        <v>1</v>
      </c>
      <c r="E250" s="27" t="inlineStr">
        <is>
          <t>안전관리론</t>
        </is>
      </c>
      <c r="F250" s="28" t="inlineStr">
        <is>
          <t>산업재해발생구조4형태</t>
        </is>
      </c>
      <c r="G250" s="34" t="inlineStr">
        <is>
          <t>﻿1. 산업재해 발생구조 4형태</t>
        </is>
      </c>
      <c r="H250" s="30" t="n"/>
      <c r="I250" s="30" t="n"/>
      <c r="J250" s="30" t="n"/>
      <c r="K250" s="30" t="n"/>
      <c r="L250" s="30" t="n"/>
      <c r="M250" s="30" t="n"/>
      <c r="O250" s="30" t="n"/>
      <c r="P250" s="30" t="n"/>
    </row>
    <row r="251" customFormat="1" s="31">
      <c r="A251" s="25" t="n"/>
      <c r="B251" s="125" t="n">
        <v>130</v>
      </c>
      <c r="C251" s="126" t="n">
        <v>1</v>
      </c>
      <c r="D251" s="26" t="n">
        <v>2</v>
      </c>
      <c r="E251" s="27" t="inlineStr">
        <is>
          <t>가설공사</t>
        </is>
      </c>
      <c r="F251" s="28" t="inlineStr">
        <is>
          <t>사다리</t>
        </is>
      </c>
      <c r="G251" s="34" t="inlineStr">
        <is>
          <t>﻿2. 사다리식 통로 설치 시 준수사항</t>
        </is>
      </c>
      <c r="H251" s="30" t="n"/>
      <c r="I251" s="30" t="n"/>
      <c r="J251" s="30" t="n"/>
      <c r="K251" s="30" t="n"/>
      <c r="L251" s="30" t="n"/>
      <c r="M251" s="30" t="n"/>
      <c r="O251" s="30" t="n"/>
      <c r="P251" s="30" t="n"/>
    </row>
    <row r="252" customFormat="1" s="31">
      <c r="A252" s="25" t="n"/>
      <c r="B252" s="125" t="n">
        <v>130</v>
      </c>
      <c r="C252" s="126" t="n">
        <v>1</v>
      </c>
      <c r="D252" s="26" t="n">
        <v>3</v>
      </c>
      <c r="E252" s="27" t="inlineStr">
        <is>
          <t>가설공사</t>
        </is>
      </c>
      <c r="F252" s="28" t="inlineStr">
        <is>
          <t>말비계</t>
        </is>
      </c>
      <c r="G252" s="34" t="inlineStr">
        <is>
          <t>﻿3. 말비계 조립기준 및 말비계 사용 시 근로자 필수교육 항목</t>
        </is>
      </c>
      <c r="H252" s="30" t="n"/>
      <c r="I252" s="30" t="n"/>
      <c r="J252" s="30" t="n"/>
      <c r="K252" s="30" t="n"/>
      <c r="L252" s="30" t="n"/>
      <c r="M252" s="30" t="n"/>
      <c r="O252" s="30" t="n"/>
      <c r="P252" s="30" t="n"/>
    </row>
    <row r="253" customFormat="1" s="31">
      <c r="A253" s="25" t="n"/>
      <c r="B253" s="125" t="n">
        <v>130</v>
      </c>
      <c r="C253" s="126" t="n">
        <v>1</v>
      </c>
      <c r="D253" s="26" t="n">
        <v>4</v>
      </c>
      <c r="E253" s="27" t="inlineStr">
        <is>
          <t>재해유형</t>
        </is>
      </c>
      <c r="F253" s="28" t="inlineStr">
        <is>
          <t>뇌심혈관질환</t>
        </is>
      </c>
      <c r="G253" s="34" t="inlineStr">
        <is>
          <t>﻿4. 뇌심혈관질환에서 개인요인과 작업관련요인</t>
        </is>
      </c>
      <c r="H253" s="30" t="n"/>
      <c r="I253" s="30" t="n"/>
      <c r="J253" s="30" t="n"/>
      <c r="K253" s="30" t="n"/>
      <c r="L253" s="30" t="n"/>
      <c r="M253" s="30" t="n"/>
      <c r="O253" s="30" t="n"/>
      <c r="P253" s="30" t="n"/>
    </row>
    <row r="254" customFormat="1" s="31">
      <c r="A254" s="25" t="n"/>
      <c r="B254" s="125" t="n">
        <v>130</v>
      </c>
      <c r="C254" s="126" t="n">
        <v>1</v>
      </c>
      <c r="D254" s="26" t="n">
        <v>5</v>
      </c>
      <c r="E254" s="27" t="inlineStr">
        <is>
          <t>산안법</t>
        </is>
      </c>
      <c r="F254" s="28" t="inlineStr">
        <is>
          <t>휴게시설</t>
        </is>
      </c>
      <c r="G254" s="34" t="inlineStr">
        <is>
          <t>﻿5. 사업장 휴게시설</t>
        </is>
      </c>
      <c r="H254" s="30" t="n"/>
      <c r="I254" s="30" t="n"/>
      <c r="J254" s="30" t="n"/>
      <c r="K254" s="30" t="n"/>
      <c r="L254" s="30" t="n"/>
      <c r="M254" s="30" t="n"/>
      <c r="O254" s="30" t="n"/>
      <c r="P254" s="30" t="n"/>
    </row>
    <row r="255" customFormat="1" s="31">
      <c r="A255" s="25" t="n"/>
      <c r="B255" s="125" t="n">
        <v>130</v>
      </c>
      <c r="C255" s="126" t="n">
        <v>1</v>
      </c>
      <c r="D255" s="26" t="n">
        <v>6</v>
      </c>
      <c r="E255" s="27" t="inlineStr">
        <is>
          <t>중대재해처벌법</t>
        </is>
      </c>
      <c r="F255" s="28" t="inlineStr">
        <is>
          <t>중대산업재해</t>
        </is>
      </c>
      <c r="G255" s="34" t="inlineStr">
        <is>
          <t>﻿6. ⌜중대재해 처벌 등에 관한 법률⌟ 상 중대산업재해 및 중대시민재해의 정의와 범위</t>
        </is>
      </c>
      <c r="H255" s="30" t="n"/>
      <c r="I255" s="30" t="n"/>
      <c r="J255" s="30" t="n"/>
      <c r="K255" s="30" t="n"/>
      <c r="L255" s="30" t="n"/>
      <c r="M255" s="30" t="n"/>
      <c r="O255" s="30" t="n"/>
      <c r="P255" s="30" t="n"/>
    </row>
    <row r="256" customFormat="1" s="31">
      <c r="A256" s="25" t="n"/>
      <c r="B256" s="125" t="n">
        <v>130</v>
      </c>
      <c r="C256" s="126" t="n">
        <v>1</v>
      </c>
      <c r="D256" s="26" t="n">
        <v>7</v>
      </c>
      <c r="E256" s="27" t="inlineStr">
        <is>
          <t>산안법</t>
        </is>
      </c>
      <c r="F256" s="28" t="inlineStr">
        <is>
          <t>노사협의체</t>
        </is>
      </c>
      <c r="G256" s="34" t="inlineStr">
        <is>
          <t>﻿7. 안전 및 보건에 관한 노사협의체의 심의‧의결사항</t>
        </is>
      </c>
      <c r="H256" s="30" t="n"/>
      <c r="I256" s="30" t="n"/>
      <c r="J256" s="30" t="n"/>
      <c r="K256" s="30" t="n"/>
      <c r="L256" s="30" t="n"/>
      <c r="M256" s="30" t="n"/>
      <c r="O256" s="30" t="n"/>
      <c r="P256" s="30" t="n"/>
    </row>
    <row r="257" customFormat="1" s="31">
      <c r="A257" s="25" t="n"/>
      <c r="B257" s="125" t="n">
        <v>130</v>
      </c>
      <c r="C257" s="126" t="n">
        <v>1</v>
      </c>
      <c r="D257" s="26" t="n">
        <v>8</v>
      </c>
      <c r="E257" s="27" t="inlineStr">
        <is>
          <t>지특법</t>
        </is>
      </c>
      <c r="F257" s="28" t="inlineStr">
        <is>
          <t>지하시설물</t>
        </is>
      </c>
      <c r="G257" s="34" t="inlineStr">
        <is>
          <t>﻿8. 안전점검 대상 지하시설물의 종류 및 안전점검의 실시 시기</t>
        </is>
      </c>
      <c r="H257" s="30" t="n"/>
      <c r="I257" s="30" t="n"/>
      <c r="J257" s="30" t="n"/>
      <c r="K257" s="30" t="n"/>
      <c r="L257" s="30" t="n"/>
      <c r="M257" s="30" t="n"/>
      <c r="O257" s="30" t="n"/>
      <c r="P257" s="30" t="n"/>
    </row>
    <row r="258" customFormat="1" s="31">
      <c r="A258" s="25" t="n"/>
      <c r="B258" s="125" t="n">
        <v>130</v>
      </c>
      <c r="C258" s="126" t="n">
        <v>1</v>
      </c>
      <c r="D258" s="26" t="n">
        <v>9</v>
      </c>
      <c r="E258" s="27" t="inlineStr">
        <is>
          <t>가설공사</t>
        </is>
      </c>
      <c r="F258" s="28" t="inlineStr">
        <is>
          <t>비계</t>
        </is>
      </c>
      <c r="G258" s="34" t="inlineStr">
        <is>
          <t>﻿9. 비계(飛階, scaffolding) 공사의 특징 및 안전 3요소</t>
        </is>
      </c>
      <c r="H258" s="30" t="n"/>
      <c r="I258" s="30" t="n"/>
      <c r="J258" s="30" t="n"/>
      <c r="K258" s="30" t="n"/>
      <c r="L258" s="30" t="n"/>
      <c r="M258" s="30" t="n"/>
      <c r="O258" s="30" t="n"/>
      <c r="P258" s="30" t="n"/>
    </row>
    <row r="259" customFormat="1" s="31">
      <c r="A259" s="25" t="n"/>
      <c r="B259" s="125" t="n">
        <v>130</v>
      </c>
      <c r="C259" s="126" t="n">
        <v>1</v>
      </c>
      <c r="D259" s="26" t="n">
        <v>10</v>
      </c>
      <c r="E259" s="27" t="inlineStr">
        <is>
          <t>건설기계</t>
        </is>
      </c>
      <c r="F259" s="28" t="inlineStr">
        <is>
          <t>LOTO</t>
        </is>
      </c>
      <c r="G259" s="34" t="inlineStr">
        <is>
          <t>﻿10. 기계설비 장치의 잠금 및 표지부착(LOTO: Lock Out Tag Out)</t>
        </is>
      </c>
      <c r="H259" s="30" t="n"/>
      <c r="I259" s="30" t="n"/>
      <c r="J259" s="30" t="n"/>
      <c r="K259" s="30" t="n"/>
      <c r="L259" s="30" t="n"/>
      <c r="M259" s="30" t="n"/>
      <c r="O259" s="30" t="n"/>
      <c r="P259" s="30" t="n"/>
    </row>
    <row r="260" customFormat="1" s="31">
      <c r="A260" s="25" t="n"/>
      <c r="B260" s="125" t="n">
        <v>130</v>
      </c>
      <c r="C260" s="126" t="n">
        <v>1</v>
      </c>
      <c r="D260" s="26" t="n">
        <v>11</v>
      </c>
      <c r="E260" s="27" t="inlineStr">
        <is>
          <t>기초</t>
        </is>
      </c>
      <c r="F260" s="28" t="inlineStr">
        <is>
          <t>일수현상 안정액</t>
        </is>
      </c>
      <c r="G260" s="34" t="inlineStr">
        <is>
          <t>﻿11. 지하연속벽 일수현상 및 안정액의 기능</t>
        </is>
      </c>
      <c r="H260" s="30" t="n"/>
      <c r="I260" s="30" t="n"/>
      <c r="J260" s="30" t="n"/>
      <c r="K260" s="30" t="n"/>
      <c r="L260" s="30" t="n"/>
      <c r="M260" s="30" t="n"/>
      <c r="O260" s="30" t="n"/>
      <c r="P260" s="30" t="n"/>
    </row>
    <row r="261" customFormat="1" s="31">
      <c r="A261" s="25" t="n"/>
      <c r="B261" s="125" t="n">
        <v>130</v>
      </c>
      <c r="C261" s="126" t="n">
        <v>1</v>
      </c>
      <c r="D261" s="26" t="n">
        <v>12</v>
      </c>
      <c r="E261" s="27" t="inlineStr">
        <is>
          <t>산안법</t>
        </is>
      </c>
      <c r="F261" s="28" t="inlineStr">
        <is>
          <t>용접</t>
        </is>
      </c>
      <c r="G261" s="34" t="inlineStr">
        <is>
          <t>﻿12. 용접용단 작업 시 불티비산거리 및 안전조치사항</t>
        </is>
      </c>
      <c r="H261" s="30" t="n"/>
      <c r="I261" s="30" t="n"/>
      <c r="J261" s="30" t="n"/>
      <c r="K261" s="30" t="n"/>
      <c r="L261" s="30" t="n"/>
      <c r="M261" s="30" t="n"/>
      <c r="O261" s="30" t="n"/>
      <c r="P261" s="30" t="n"/>
    </row>
    <row r="262" customFormat="1" s="31">
      <c r="A262" s="25" t="n"/>
      <c r="B262" s="125" t="n">
        <v>130</v>
      </c>
      <c r="C262" s="126" t="n">
        <v>1</v>
      </c>
      <c r="D262" s="26" t="n">
        <v>13</v>
      </c>
      <c r="E262" s="27" t="inlineStr">
        <is>
          <t>산안법</t>
        </is>
      </c>
      <c r="F262" s="28" t="inlineStr">
        <is>
          <t>특별교육 해체공사</t>
        </is>
      </c>
      <c r="G262" s="34" t="inlineStr">
        <is>
          <t>﻿13. ⌜산업안전보건법령⌟ 상 특별교육 대상 작업 중 해체공사와 관련된 작업의 종류 및 교육내용</t>
        </is>
      </c>
      <c r="H262" s="30" t="n"/>
      <c r="I262" s="30" t="n"/>
      <c r="J262" s="30" t="n"/>
      <c r="K262" s="30" t="n"/>
      <c r="L262" s="30" t="n"/>
      <c r="M262" s="30" t="n"/>
      <c r="O262" s="30" t="n"/>
      <c r="P262" s="30" t="n"/>
    </row>
    <row r="263" customFormat="1" s="31">
      <c r="A263" s="25" t="n"/>
      <c r="B263" s="125" t="n">
        <v>130</v>
      </c>
      <c r="C263" s="126" t="n">
        <v>2</v>
      </c>
      <c r="D263" s="26" t="n">
        <v>1</v>
      </c>
      <c r="E263" s="27" t="inlineStr">
        <is>
          <t>안전관리론</t>
        </is>
      </c>
      <c r="F263" s="28" t="inlineStr">
        <is>
          <t>재해조사 및 통계</t>
        </is>
      </c>
      <c r="G263" s="34" t="inlineStr">
        <is>
          <t>﻿1. 재해조사의 목적과 재해조사의 원칙 3단계, 통계에 의한 재해원인의 분석방법에 대하여 설명하시오.</t>
        </is>
      </c>
      <c r="H263" s="30" t="n"/>
      <c r="I263" s="30" t="n"/>
      <c r="J263" s="30" t="n"/>
      <c r="K263" s="30" t="n"/>
      <c r="L263" s="30" t="n"/>
      <c r="M263" s="30" t="n"/>
      <c r="O263" s="30" t="n"/>
      <c r="P263" s="30" t="n"/>
    </row>
    <row r="264" ht="33" customFormat="1" customHeight="1" s="31">
      <c r="A264" s="25" t="n"/>
      <c r="B264" s="125" t="n">
        <v>130</v>
      </c>
      <c r="C264" s="126" t="n">
        <v>2</v>
      </c>
      <c r="D264" s="26" t="n">
        <v>2</v>
      </c>
      <c r="E264" s="27" t="inlineStr">
        <is>
          <t>산안법</t>
        </is>
      </c>
      <c r="F264" s="28" t="inlineStr">
        <is>
          <t>유해위험방지계획서</t>
        </is>
      </c>
      <c r="G264" s="34" t="inlineStr">
        <is>
          <t>﻿2. 건설공사에 적용되는 관련법에 따라 진행 단계별 안전관리 업무 및 확인사항에 대하여 설명하고, 유해위험방지계획서와 안전관리계획서의 차이점에 대하여 설명하시오.</t>
        </is>
      </c>
      <c r="H264" s="30" t="n"/>
      <c r="I264" s="30" t="n"/>
      <c r="J264" s="30" t="n"/>
      <c r="K264" s="30" t="n"/>
      <c r="L264" s="30" t="n"/>
      <c r="M264" s="30" t="n"/>
      <c r="O264" s="30" t="n"/>
      <c r="P264" s="30" t="n"/>
    </row>
    <row r="265" ht="82.5" customFormat="1" customHeight="1" s="31">
      <c r="A265" s="25" t="n"/>
      <c r="B265" s="125" t="n">
        <v>130</v>
      </c>
      <c r="C265" s="126" t="n">
        <v>2</v>
      </c>
      <c r="D265" s="26" t="n">
        <v>3</v>
      </c>
      <c r="E265" s="27" t="inlineStr">
        <is>
          <t>콘크리트</t>
        </is>
      </c>
      <c r="F265" s="28" t="inlineStr">
        <is>
          <t>거푸집 동바리</t>
        </is>
      </c>
      <c r="G265" s="52" t="inlineStr">
        <is>
          <t>﻿3. 건설현장 거푸집공사에서 사용되는 합벽지지대의 구조검토와 점검 시 다음 사항에 대하여 설명하시오.
﻿1)구조검토를 위한 적용기준
2)설계하중
3)측압 및 구조안전성 검토에 관한 사항
4)현장조립 시 점검사항</t>
        </is>
      </c>
      <c r="H265" s="30" t="n"/>
      <c r="I265" s="30" t="n"/>
      <c r="J265" s="30" t="n"/>
      <c r="K265" s="30" t="n"/>
      <c r="L265" s="30" t="n"/>
      <c r="M265" s="30" t="n"/>
      <c r="O265" s="30" t="n"/>
      <c r="P265" s="30" t="n"/>
    </row>
    <row r="266" ht="33" customFormat="1" customHeight="1" s="31">
      <c r="A266" s="25" t="n"/>
      <c r="B266" s="125" t="n">
        <v>130</v>
      </c>
      <c r="C266" s="126" t="n">
        <v>2</v>
      </c>
      <c r="D266" s="26" t="n">
        <v>4</v>
      </c>
      <c r="E266" s="27" t="inlineStr">
        <is>
          <t>산안법</t>
        </is>
      </c>
      <c r="F266" s="28" t="inlineStr">
        <is>
          <t>위험성 평가</t>
        </is>
      </c>
      <c r="G266" s="34" t="inlineStr">
        <is>
          <t>﻿4. 위험성평가의 실시주체별 역할, 실시시기별 종류를 설명하고, 위험성평가 전파교육방법에 대하여 설명하시오</t>
        </is>
      </c>
      <c r="H266" s="30" t="n"/>
      <c r="I266" s="30" t="n"/>
      <c r="J266" s="30" t="n"/>
      <c r="K266" s="30" t="n"/>
      <c r="L266" s="30" t="n"/>
      <c r="M266" s="30" t="n"/>
      <c r="O266" s="30" t="n"/>
      <c r="P266" s="30" t="n"/>
    </row>
    <row r="267" customFormat="1" s="31">
      <c r="A267" s="25" t="n"/>
      <c r="B267" s="125" t="n">
        <v>130</v>
      </c>
      <c r="C267" s="126" t="n">
        <v>2</v>
      </c>
      <c r="D267" s="26" t="n">
        <v>5</v>
      </c>
      <c r="E267" s="27" t="inlineStr">
        <is>
          <t>산안법</t>
        </is>
      </c>
      <c r="F267" s="28" t="inlineStr">
        <is>
          <t>소음진동</t>
        </is>
      </c>
      <c r="G267" s="34" t="inlineStr">
        <is>
          <t>﻿5. 건설공사 중 발생되는 공사장 소음‧진동에 대한 관리기준과 저감대책에 대하여 설명하시오</t>
        </is>
      </c>
      <c r="H267" s="30" t="n"/>
      <c r="I267" s="30" t="n"/>
      <c r="J267" s="30" t="n"/>
      <c r="K267" s="30" t="n"/>
      <c r="L267" s="30" t="n"/>
      <c r="M267" s="30" t="n"/>
      <c r="O267" s="30" t="n"/>
      <c r="P267" s="30" t="n"/>
    </row>
    <row r="268" customFormat="1" s="31">
      <c r="A268" s="25" t="n"/>
      <c r="B268" s="125" t="n">
        <v>130</v>
      </c>
      <c r="C268" s="126" t="n">
        <v>2</v>
      </c>
      <c r="D268" s="26" t="n">
        <v>6</v>
      </c>
      <c r="E268" s="27" t="inlineStr">
        <is>
          <t>강재</t>
        </is>
      </c>
      <c r="F268" s="28" t="inlineStr">
        <is>
          <t>용접결함</t>
        </is>
      </c>
      <c r="G268" s="34" t="inlineStr">
        <is>
          <t>﻿6. 강구조물에서 용접 결함의 종류와 용접검사 방법의 종류 및 특징에 대하여 설명하시오.</t>
        </is>
      </c>
      <c r="H268" s="30" t="n"/>
      <c r="I268" s="30" t="n"/>
      <c r="J268" s="30" t="n"/>
      <c r="K268" s="30" t="n"/>
      <c r="L268" s="30" t="n"/>
      <c r="M268" s="30" t="n"/>
      <c r="O268" s="30" t="n"/>
      <c r="P268" s="30" t="n"/>
    </row>
    <row r="269" customFormat="1" s="31">
      <c r="A269" s="25" t="n"/>
      <c r="B269" s="125" t="n">
        <v>130</v>
      </c>
      <c r="C269" s="126" t="n">
        <v>3</v>
      </c>
      <c r="D269" s="26" t="n">
        <v>1</v>
      </c>
      <c r="E269" s="27" t="inlineStr">
        <is>
          <t>안전관리론</t>
        </is>
      </c>
      <c r="F269" s="28" t="inlineStr">
        <is>
          <t>재해손실비용</t>
        </is>
      </c>
      <c r="G269" s="34" t="inlineStr">
        <is>
          <t>﻿1. 재해손실비용의 산정 시 고려사항 및 평가방식에 대하여 설명하시오.</t>
        </is>
      </c>
      <c r="H269" s="30" t="n"/>
      <c r="I269" s="30" t="n"/>
      <c r="J269" s="30" t="n"/>
      <c r="K269" s="30" t="n"/>
      <c r="L269" s="30" t="n"/>
      <c r="M269" s="30" t="n"/>
      <c r="O269" s="30" t="n"/>
      <c r="P269" s="30" t="n"/>
    </row>
    <row r="270" ht="33" customFormat="1" customHeight="1" s="31">
      <c r="A270" s="25" t="n"/>
      <c r="B270" s="125" t="n">
        <v>130</v>
      </c>
      <c r="C270" s="126" t="n">
        <v>3</v>
      </c>
      <c r="D270" s="26" t="n">
        <v>2</v>
      </c>
      <c r="E270" s="27" t="inlineStr">
        <is>
          <t>시설물안전법</t>
        </is>
      </c>
      <c r="F270" s="28" t="inlineStr">
        <is>
          <t>안전점검</t>
        </is>
      </c>
      <c r="G270" s="34" t="inlineStr">
        <is>
          <t>﻿2. 시설물의 안전 및 유지관리에 관한 특별법상 안전점검의 종류와 구 교량(舊 橋梁)의 안전성을 평가하는 목적 및 평가를 위해 필요한 조사방법을 설명하시오.</t>
        </is>
      </c>
      <c r="H270" s="30" t="n"/>
      <c r="I270" s="30" t="n"/>
      <c r="J270" s="30" t="n"/>
      <c r="K270" s="30" t="n"/>
      <c r="L270" s="30" t="n"/>
      <c r="M270" s="30" t="n"/>
      <c r="O270" s="30" t="n"/>
      <c r="P270" s="30" t="n"/>
    </row>
    <row r="271" ht="33" customFormat="1" customHeight="1" s="31">
      <c r="A271" s="25" t="n"/>
      <c r="B271" s="125" t="n">
        <v>130</v>
      </c>
      <c r="C271" s="126" t="n">
        <v>3</v>
      </c>
      <c r="D271" s="26" t="n">
        <v>3</v>
      </c>
      <c r="E271" s="27" t="inlineStr">
        <is>
          <t>기초</t>
        </is>
      </c>
      <c r="F271" s="28" t="inlineStr">
        <is>
          <t>흙막이</t>
        </is>
      </c>
      <c r="G271" s="34" t="inlineStr">
        <is>
          <t>﻿3. 굴착공사 시 적용 가능한 흙막이 벽체 공법의 종류와 구조적 안전성 검토사항에 대하여 설명하고, 히빙(heaving)현상과 파이핑(piping)현상의 발생원인과 안전대책에 대하여 설명하시오</t>
        </is>
      </c>
      <c r="H271" s="30" t="n"/>
      <c r="I271" s="30" t="n"/>
      <c r="J271" s="30" t="n"/>
      <c r="K271" s="30" t="n"/>
      <c r="L271" s="30" t="n"/>
      <c r="M271" s="30" t="n"/>
      <c r="O271" s="30" t="n"/>
      <c r="P271" s="30" t="n"/>
    </row>
    <row r="272" ht="33" customFormat="1" customHeight="1" s="31">
      <c r="A272" s="25" t="n"/>
      <c r="B272" s="125" t="n">
        <v>130</v>
      </c>
      <c r="C272" s="126" t="n">
        <v>3</v>
      </c>
      <c r="D272" s="26" t="n">
        <v>4</v>
      </c>
      <c r="E272" s="27" t="inlineStr">
        <is>
          <t>건축</t>
        </is>
      </c>
      <c r="F272" s="28" t="inlineStr">
        <is>
          <t>TOP DOWN</t>
        </is>
      </c>
      <c r="G272" s="34" t="inlineStr">
        <is>
          <t>﻿4. 도심지에서 고층의 건물 공사 시 적용되는 Top Down공법의 특성 및 시공 시 유의해야하는 위험요인과 안전대책을 설명하시오</t>
        </is>
      </c>
      <c r="H272" s="30" t="n"/>
      <c r="I272" s="30" t="n"/>
      <c r="J272" s="30" t="n"/>
      <c r="K272" s="30" t="n"/>
      <c r="L272" s="30" t="n"/>
      <c r="M272" s="30" t="n"/>
      <c r="O272" s="30" t="n"/>
      <c r="P272" s="30" t="n"/>
    </row>
    <row r="273" customFormat="1" s="31">
      <c r="A273" s="25" t="n"/>
      <c r="B273" s="125" t="n">
        <v>130</v>
      </c>
      <c r="C273" s="126" t="n">
        <v>3</v>
      </c>
      <c r="D273" s="26" t="n">
        <v>5</v>
      </c>
      <c r="E273" s="27" t="inlineStr">
        <is>
          <t>계절재해</t>
        </is>
      </c>
      <c r="F273" s="28" t="inlineStr">
        <is>
          <t>온열질환</t>
        </is>
      </c>
      <c r="G273" s="34" t="inlineStr">
        <is>
          <t>﻿5. 하절기 건설현장에서 발생되는 온열질환 예방에 대하여 설명하시오.</t>
        </is>
      </c>
      <c r="H273" s="30" t="n"/>
      <c r="I273" s="30" t="n"/>
      <c r="J273" s="30" t="n"/>
      <c r="K273" s="30" t="n"/>
      <c r="L273" s="30" t="n"/>
      <c r="M273" s="30" t="n"/>
      <c r="O273" s="30" t="n"/>
      <c r="P273" s="30" t="n"/>
    </row>
    <row r="274" ht="33" customFormat="1" customHeight="1" s="31">
      <c r="A274" s="25" t="n"/>
      <c r="B274" s="125" t="n">
        <v>130</v>
      </c>
      <c r="C274" s="126" t="n">
        <v>3</v>
      </c>
      <c r="D274" s="26" t="n">
        <v>6</v>
      </c>
      <c r="E274" s="27" t="inlineStr">
        <is>
          <t>계절재해</t>
        </is>
      </c>
      <c r="F274" s="28" t="inlineStr">
        <is>
          <t>장마철</t>
        </is>
      </c>
      <c r="G274" s="34" t="inlineStr">
        <is>
          <t>﻿6. 장마철 건설현장에서 발생하는 재해유형별 안전관리대책과 공사장 내 침수 방지를 위한 양수펌프 적정대수 산정방법 및 집중호우 시 단계별 안전행동요령에 대하여 설명하시오.</t>
        </is>
      </c>
      <c r="H274" s="30" t="n"/>
      <c r="I274" s="30" t="n"/>
      <c r="J274" s="30" t="n"/>
      <c r="K274" s="30" t="n"/>
      <c r="L274" s="30" t="n"/>
      <c r="M274" s="30" t="n"/>
      <c r="O274" s="30" t="n"/>
      <c r="P274" s="30" t="n"/>
    </row>
    <row r="275" ht="33" customFormat="1" customHeight="1" s="31">
      <c r="A275" s="25" t="n"/>
      <c r="B275" s="125" t="n">
        <v>130</v>
      </c>
      <c r="C275" s="126" t="n">
        <v>4</v>
      </c>
      <c r="D275" s="26" t="n">
        <v>1</v>
      </c>
      <c r="E275" s="27" t="inlineStr">
        <is>
          <t>안전관리론</t>
        </is>
      </c>
      <c r="F275" s="28" t="inlineStr">
        <is>
          <t>인간공학</t>
        </is>
      </c>
      <c r="G275" s="34" t="inlineStr">
        <is>
          <t>﻿1. 인간공학적 작업장 개선 시 검토사항과 효율적 작업설계 및 동작범위 설계, 작업자세에 대하여 설명하시오.</t>
        </is>
      </c>
      <c r="H275" s="30" t="n"/>
      <c r="I275" s="30" t="n"/>
      <c r="J275" s="30" t="n"/>
      <c r="K275" s="30" t="n"/>
      <c r="L275" s="30" t="n"/>
      <c r="M275" s="30" t="n"/>
      <c r="O275" s="30" t="n"/>
      <c r="P275" s="30" t="n"/>
    </row>
    <row r="276" customFormat="1" s="31">
      <c r="A276" s="25" t="n"/>
      <c r="B276" s="125" t="n">
        <v>130</v>
      </c>
      <c r="C276" s="126" t="n">
        <v>4</v>
      </c>
      <c r="D276" s="26" t="n">
        <v>2</v>
      </c>
      <c r="E276" s="27" t="inlineStr">
        <is>
          <t>터널</t>
        </is>
      </c>
      <c r="F276" s="28" t="inlineStr">
        <is>
          <t>NATM</t>
        </is>
      </c>
      <c r="G276" s="34" t="inlineStr">
        <is>
          <t>﻿2. 터널 굴착공법 중 NATM공법에 대해서 적용 한계성과 개선사항을 안전측면에서 설명하시오</t>
        </is>
      </c>
      <c r="H276" s="30" t="n"/>
      <c r="I276" s="30" t="n"/>
      <c r="J276" s="30" t="n"/>
      <c r="K276" s="30" t="n"/>
      <c r="L276" s="30" t="n"/>
      <c r="M276" s="30" t="n"/>
      <c r="O276" s="30" t="n"/>
      <c r="P276" s="30" t="n"/>
    </row>
    <row r="277" customFormat="1" s="31">
      <c r="A277" s="25" t="n"/>
      <c r="B277" s="125" t="n">
        <v>130</v>
      </c>
      <c r="C277" s="126" t="n">
        <v>4</v>
      </c>
      <c r="D277" s="26" t="n">
        <v>3</v>
      </c>
      <c r="E277" s="27" t="inlineStr">
        <is>
          <t>건진법</t>
        </is>
      </c>
      <c r="F277" s="28" t="inlineStr">
        <is>
          <t>건설공사 참여자의 안전관리 수준 평가</t>
        </is>
      </c>
      <c r="G277" s="34" t="inlineStr">
        <is>
          <t>﻿3. 「건설기술진흥법」 상 “건설공사 참여자의 안전관리 수준 평가기준 및 절차”에 대하여 설명하시오.</t>
        </is>
      </c>
      <c r="H277" s="30" t="n"/>
      <c r="I277" s="30" t="n"/>
      <c r="J277" s="30" t="n"/>
      <c r="K277" s="30" t="n"/>
      <c r="L277" s="30" t="n"/>
      <c r="M277" s="30" t="n"/>
      <c r="O277" s="30" t="n"/>
      <c r="P277" s="30" t="n"/>
    </row>
    <row r="278" ht="33" customFormat="1" customHeight="1" s="31">
      <c r="A278" s="25" t="n"/>
      <c r="B278" s="125" t="n">
        <v>130</v>
      </c>
      <c r="C278" s="126" t="n">
        <v>4</v>
      </c>
      <c r="D278" s="26" t="n">
        <v>4</v>
      </c>
      <c r="E278" s="27" t="inlineStr">
        <is>
          <t>산안법</t>
        </is>
      </c>
      <c r="F278" s="28" t="inlineStr">
        <is>
          <t>밀폐공간</t>
        </is>
      </c>
      <c r="G278" s="34" t="inlineStr">
        <is>
          <t>﻿4. 건설현장 밀폐공간작업 시 유해·위험 요인과 산소·유해가스농도 관리 기준을 설명하고, 밀폐공간 작업 프로그램 수립·시행에 따른 안전절차, 안전점검 사항에 대하여 설명하시오.</t>
        </is>
      </c>
      <c r="H278" s="30" t="n"/>
      <c r="I278" s="30" t="n"/>
      <c r="J278" s="30" t="n"/>
      <c r="K278" s="30" t="n"/>
      <c r="L278" s="30" t="n"/>
      <c r="M278" s="30" t="n"/>
      <c r="O278" s="30" t="n"/>
      <c r="P278" s="30" t="n"/>
    </row>
    <row r="279" ht="49.5" customFormat="1" customHeight="1" s="31">
      <c r="A279" s="25" t="n"/>
      <c r="B279" s="125" t="n">
        <v>130</v>
      </c>
      <c r="C279" s="126" t="n">
        <v>4</v>
      </c>
      <c r="D279" s="26" t="n">
        <v>5</v>
      </c>
      <c r="E279" s="27" t="inlineStr">
        <is>
          <t>건설기계</t>
        </is>
      </c>
      <c r="F279" s="28" t="inlineStr">
        <is>
          <t>항타기 항발기</t>
        </is>
      </c>
      <c r="G279" s="34" t="inlineStr">
        <is>
          <t>5. 차량계 건설기계 중 항타기·항발기를 사용 시 다음에 대하여 설명하시오.
1) 작업계획서에 포함할 내용
2) 항타기·항발기 조립·해체, 사용(이동, 정차, 수송) 및 작업 시 점검·확인사항</t>
        </is>
      </c>
      <c r="H279" s="30" t="n"/>
      <c r="I279" s="30" t="n"/>
      <c r="J279" s="30" t="n"/>
      <c r="K279" s="30" t="n"/>
      <c r="L279" s="30" t="n"/>
      <c r="M279" s="30" t="n"/>
      <c r="O279" s="30" t="n"/>
      <c r="P279" s="30" t="n"/>
    </row>
    <row r="280" customFormat="1" s="31">
      <c r="A280" s="25" t="n"/>
      <c r="B280" s="125" t="n">
        <v>130</v>
      </c>
      <c r="C280" s="126" t="n">
        <v>4</v>
      </c>
      <c r="D280" s="26" t="n">
        <v>6</v>
      </c>
      <c r="E280" s="27" t="inlineStr">
        <is>
          <t>콘크리트</t>
        </is>
      </c>
      <c r="F280" s="28" t="inlineStr">
        <is>
          <t>거푸집 동바리</t>
        </is>
      </c>
      <c r="G280" s="34" t="inlineStr">
        <is>
          <t>﻿6. 철근콘크리트공사에서 거푸집 동바리 설계 시 고려하중과 설치기준에 대하여 설명하시오.</t>
        </is>
      </c>
      <c r="H280" s="30" t="n"/>
      <c r="I280" s="30" t="n"/>
      <c r="J280" s="30" t="n"/>
      <c r="K280" s="30" t="n"/>
      <c r="L280" s="30" t="n"/>
      <c r="M280" s="30" t="n"/>
      <c r="O280" s="30" t="n"/>
      <c r="P280" s="30" t="n"/>
    </row>
    <row r="281" customFormat="1" s="31">
      <c r="A281" s="25" t="n"/>
      <c r="B281" s="125" t="n">
        <v>129</v>
      </c>
      <c r="C281" s="126" t="n">
        <v>1</v>
      </c>
      <c r="D281" s="26" t="n">
        <v>1</v>
      </c>
      <c r="E281" s="27" t="inlineStr">
        <is>
          <t>지특법</t>
        </is>
      </c>
      <c r="F281" s="28" t="inlineStr">
        <is>
          <t>지하안전평가</t>
        </is>
      </c>
      <c r="G281" s="34" t="inlineStr">
        <is>
          <t>﻿지하안전평가의 종류, 평가항목, 평가방법과 승인기관장의 재협의 요청대상</t>
        </is>
      </c>
      <c r="H281" s="30" t="n"/>
      <c r="I281" s="30" t="n"/>
      <c r="J281" s="30" t="n"/>
      <c r="K281" s="30" t="n"/>
      <c r="L281" s="30" t="n"/>
      <c r="M281" s="30" t="n"/>
      <c r="O281" s="30" t="n"/>
      <c r="P281" s="30" t="n"/>
    </row>
    <row r="282" customFormat="1" s="31">
      <c r="A282" s="25" t="n"/>
      <c r="B282" s="125" t="n">
        <v>129</v>
      </c>
      <c r="C282" s="126" t="n">
        <v>1</v>
      </c>
      <c r="D282" s="26" t="n">
        <v>2</v>
      </c>
      <c r="E282" s="27" t="inlineStr">
        <is>
          <t>건설기계</t>
        </is>
      </c>
      <c r="F282" s="28" t="inlineStr">
        <is>
          <t>굴착기</t>
        </is>
      </c>
      <c r="G282" s="34" t="inlineStr">
        <is>
          <t>﻿굴착기를 이용한 인양작업 허용기준</t>
        </is>
      </c>
      <c r="H282" s="30" t="n"/>
      <c r="I282" s="30" t="n"/>
      <c r="J282" s="30" t="n"/>
      <c r="K282" s="30" t="n"/>
      <c r="L282" s="30" t="n"/>
      <c r="M282" s="30" t="n"/>
      <c r="O282" s="30" t="n"/>
      <c r="P282" s="30" t="n"/>
    </row>
    <row r="283" customFormat="1" s="31">
      <c r="A283" s="25" t="n"/>
      <c r="B283" s="125" t="n">
        <v>129</v>
      </c>
      <c r="C283" s="126" t="n">
        <v>1</v>
      </c>
      <c r="D283" s="26" t="n">
        <v>3</v>
      </c>
      <c r="E283" s="27" t="inlineStr">
        <is>
          <t>건진법</t>
        </is>
      </c>
      <c r="F283" s="28" t="inlineStr">
        <is>
          <t>가설구조물 안전성 확인</t>
        </is>
      </c>
      <c r="G283" s="34" t="inlineStr">
        <is>
          <t>﻿건설기술진흥법상 가설구조물의 구조적 안전성을 확인받아야 하는 가설구조물과 관계전문가의 요건</t>
        </is>
      </c>
      <c r="H283" s="30" t="n"/>
      <c r="I283" s="30" t="n"/>
      <c r="J283" s="30" t="n"/>
      <c r="K283" s="30" t="n"/>
      <c r="L283" s="30" t="n"/>
      <c r="M283" s="30" t="n"/>
      <c r="O283" s="30" t="n"/>
      <c r="P283" s="30" t="n"/>
    </row>
    <row r="284" customFormat="1" s="31">
      <c r="A284" s="25" t="n"/>
      <c r="B284" s="125" t="n">
        <v>129</v>
      </c>
      <c r="C284" s="126" t="n">
        <v>1</v>
      </c>
      <c r="D284" s="26" t="n">
        <v>4</v>
      </c>
      <c r="E284" s="27" t="inlineStr">
        <is>
          <t>산안법</t>
        </is>
      </c>
      <c r="F284" s="28" t="inlineStr">
        <is>
          <t>임시소방시설</t>
        </is>
      </c>
      <c r="G284" s="34" t="inlineStr">
        <is>
          <t>﻿건설공사의 임시소방시설과 화재감시자의 배치기준 및 업무</t>
        </is>
      </c>
      <c r="H284" s="30" t="n"/>
      <c r="I284" s="30" t="n"/>
      <c r="J284" s="30" t="n"/>
      <c r="K284" s="30" t="n"/>
      <c r="L284" s="30" t="n"/>
      <c r="M284" s="30" t="n"/>
      <c r="O284" s="30" t="n"/>
      <c r="P284" s="30" t="n"/>
    </row>
    <row r="285" ht="33" customFormat="1" customHeight="1" s="31">
      <c r="A285" s="25" t="n"/>
      <c r="B285" s="125" t="n">
        <v>129</v>
      </c>
      <c r="C285" s="126" t="n">
        <v>1</v>
      </c>
      <c r="D285" s="26" t="n">
        <v>5</v>
      </c>
      <c r="E285" s="27" t="inlineStr">
        <is>
          <t>콘크리트</t>
        </is>
      </c>
      <c r="F285" s="28" t="inlineStr">
        <is>
          <t>허용응력설계법 극한강도설계법</t>
        </is>
      </c>
      <c r="G285" s="34" t="inlineStr">
        <is>
          <t>﻿철근콘크리트구조에서 허용응력설계법(ASD)과 극한강도설계법(USD)을 비교(설계하중. 재료특성, 안전확보기준)</t>
        </is>
      </c>
      <c r="H285" s="30" t="n"/>
      <c r="I285" s="30" t="n"/>
      <c r="J285" s="30" t="n"/>
      <c r="K285" s="30" t="n"/>
      <c r="L285" s="30" t="n"/>
      <c r="M285" s="30" t="n"/>
      <c r="O285" s="30" t="n"/>
      <c r="P285" s="30" t="n"/>
    </row>
    <row r="286" customFormat="1" s="31">
      <c r="A286" s="25" t="n"/>
      <c r="B286" s="125" t="n">
        <v>129</v>
      </c>
      <c r="C286" s="126" t="n">
        <v>1</v>
      </c>
      <c r="D286" s="26" t="n">
        <v>6</v>
      </c>
      <c r="E286" s="27" t="inlineStr">
        <is>
          <t>안전관리론</t>
        </is>
      </c>
      <c r="F286" s="28" t="inlineStr">
        <is>
          <t>인간 기계체계</t>
        </is>
      </c>
      <c r="G286" s="34" t="inlineStr">
        <is>
          <t>﻿인간의 통제정도에 따른 인간기계체계의 분류(수동체계, 반자동체계, 자동체계)</t>
        </is>
      </c>
      <c r="H286" s="30" t="n"/>
      <c r="I286" s="30" t="n"/>
      <c r="J286" s="30" t="n"/>
      <c r="K286" s="30" t="n"/>
      <c r="L286" s="30" t="n"/>
      <c r="M286" s="30" t="n"/>
      <c r="O286" s="30" t="n"/>
      <c r="P286" s="30" t="n"/>
    </row>
    <row r="287" customFormat="1" s="31">
      <c r="A287" s="25" t="n"/>
      <c r="B287" s="125" t="n">
        <v>129</v>
      </c>
      <c r="C287" s="126" t="n">
        <v>1</v>
      </c>
      <c r="D287" s="26" t="n">
        <v>7</v>
      </c>
      <c r="E287" s="27" t="inlineStr">
        <is>
          <t>산안법</t>
        </is>
      </c>
      <c r="F287" s="28" t="inlineStr">
        <is>
          <t>중대재해</t>
        </is>
      </c>
      <c r="G287" s="34" t="inlineStr">
        <is>
          <t>﻿산업안전보건법상 중대재해 발생 시 사업주의 조치 및 작업중지 조치사항</t>
        </is>
      </c>
      <c r="H287" s="30" t="n"/>
      <c r="I287" s="30" t="n"/>
      <c r="J287" s="30" t="n"/>
      <c r="K287" s="30" t="n"/>
      <c r="L287" s="30" t="n"/>
      <c r="M287" s="30" t="n"/>
      <c r="O287" s="30" t="n"/>
      <c r="P287" s="30" t="n"/>
    </row>
    <row r="288" customFormat="1" s="31">
      <c r="A288" s="25" t="n"/>
      <c r="B288" s="125" t="n">
        <v>129</v>
      </c>
      <c r="C288" s="126" t="n">
        <v>1</v>
      </c>
      <c r="D288" s="26" t="n">
        <v>8</v>
      </c>
      <c r="E288" s="27" t="inlineStr">
        <is>
          <t>산안법</t>
        </is>
      </c>
      <c r="F288" s="28" t="inlineStr">
        <is>
          <t>가설통로</t>
        </is>
      </c>
      <c r="G288" s="34" t="inlineStr">
        <is>
          <t>﻿산업안전보건법상 가설통로의 설치 및 구조기준</t>
        </is>
      </c>
      <c r="H288" s="30" t="n"/>
      <c r="I288" s="30" t="n"/>
      <c r="J288" s="30" t="n"/>
      <c r="K288" s="30" t="n"/>
      <c r="L288" s="30" t="n"/>
      <c r="M288" s="30" t="n"/>
      <c r="O288" s="30" t="n"/>
      <c r="P288" s="30" t="n"/>
    </row>
    <row r="289" customFormat="1" s="31">
      <c r="A289" s="25" t="n"/>
      <c r="B289" s="125" t="n">
        <v>129</v>
      </c>
      <c r="C289" s="126" t="n">
        <v>1</v>
      </c>
      <c r="D289" s="26" t="n">
        <v>9</v>
      </c>
      <c r="E289" s="27" t="inlineStr">
        <is>
          <t>콘크리트</t>
        </is>
      </c>
      <c r="F289" s="28" t="inlineStr">
        <is>
          <t>측압</t>
        </is>
      </c>
      <c r="G289" s="34" t="inlineStr">
        <is>
          <t>﻿콘크리트 측압 산정기준 및 측압에 영향을 주는 요인</t>
        </is>
      </c>
      <c r="H289" s="30" t="n"/>
      <c r="I289" s="30" t="n"/>
      <c r="J289" s="30" t="n"/>
      <c r="K289" s="30" t="n"/>
      <c r="L289" s="30" t="n"/>
      <c r="M289" s="30" t="n"/>
      <c r="O289" s="30" t="n"/>
      <c r="P289" s="30" t="n"/>
    </row>
    <row r="290" customFormat="1" s="31">
      <c r="A290" s="25" t="n"/>
      <c r="B290" s="125" t="n">
        <v>129</v>
      </c>
      <c r="C290" s="126" t="n">
        <v>1</v>
      </c>
      <c r="D290" s="26" t="n">
        <v>10</v>
      </c>
      <c r="E290" s="27" t="inlineStr">
        <is>
          <t>안전관리론</t>
        </is>
      </c>
      <c r="F290" s="28" t="inlineStr">
        <is>
          <t>레윈</t>
        </is>
      </c>
      <c r="G290" s="34" t="inlineStr">
        <is>
          <t>﻿레윈(Kurt.Lewin)의 행동법칙과 불안전한 행동</t>
        </is>
      </c>
      <c r="H290" s="30" t="n"/>
      <c r="I290" s="30" t="n"/>
      <c r="J290" s="30" t="n"/>
      <c r="K290" s="30" t="n"/>
      <c r="L290" s="30" t="n"/>
      <c r="M290" s="30" t="n"/>
      <c r="O290" s="30" t="n"/>
      <c r="P290" s="30" t="n"/>
    </row>
    <row r="291" customFormat="1" s="31">
      <c r="A291" s="25" t="n"/>
      <c r="B291" s="125" t="n">
        <v>129</v>
      </c>
      <c r="C291" s="126" t="n">
        <v>1</v>
      </c>
      <c r="D291" s="26" t="n">
        <v>11</v>
      </c>
      <c r="E291" s="27" t="inlineStr">
        <is>
          <t>안전관리론</t>
        </is>
      </c>
      <c r="F291" s="28" t="inlineStr">
        <is>
          <t>4M</t>
        </is>
      </c>
      <c r="G291" s="34" t="inlineStr">
        <is>
          <t>﻿재해의 기본원인(4M)</t>
        </is>
      </c>
      <c r="H291" s="30" t="n"/>
      <c r="I291" s="30" t="n"/>
      <c r="J291" s="30" t="n"/>
      <c r="K291" s="30" t="n"/>
      <c r="L291" s="30" t="n"/>
      <c r="M291" s="30" t="n"/>
      <c r="O291" s="30" t="n"/>
      <c r="P291" s="30" t="n"/>
    </row>
    <row r="292" customFormat="1" s="31">
      <c r="A292" s="25" t="n"/>
      <c r="B292" s="125" t="n">
        <v>129</v>
      </c>
      <c r="C292" s="126" t="n">
        <v>1</v>
      </c>
      <c r="D292" s="26" t="n">
        <v>12</v>
      </c>
      <c r="E292" s="27" t="inlineStr">
        <is>
          <t>산안법</t>
        </is>
      </c>
      <c r="F292" s="28" t="inlineStr">
        <is>
          <t xml:space="preserve"> 근로자 참여제도</t>
        </is>
      </c>
      <c r="G292" s="34" t="inlineStr">
        <is>
          <t>﻿근로자 참여제도</t>
        </is>
      </c>
      <c r="H292" s="30" t="n"/>
      <c r="I292" s="30" t="n"/>
      <c r="J292" s="30" t="n"/>
      <c r="K292" s="30" t="n"/>
      <c r="L292" s="30" t="n"/>
      <c r="M292" s="30" t="n"/>
      <c r="O292" s="30" t="n"/>
      <c r="P292" s="30" t="n"/>
    </row>
    <row r="293" customFormat="1" s="31">
      <c r="A293" s="25" t="n"/>
      <c r="B293" s="125" t="n">
        <v>129</v>
      </c>
      <c r="C293" s="126" t="n">
        <v>1</v>
      </c>
      <c r="D293" s="26" t="n">
        <v>13</v>
      </c>
      <c r="E293" s="27" t="inlineStr">
        <is>
          <t>안전관리론</t>
        </is>
      </c>
      <c r="F293" s="28" t="inlineStr">
        <is>
          <t>연습곡선</t>
        </is>
      </c>
      <c r="G293" s="34" t="inlineStr">
        <is>
          <t>﻿연습곡선(Practice Curve) 및 활용효과</t>
        </is>
      </c>
      <c r="H293" s="30" t="n"/>
      <c r="I293" s="30" t="n"/>
      <c r="J293" s="30" t="n"/>
      <c r="K293" s="30" t="n"/>
      <c r="L293" s="30" t="n"/>
      <c r="M293" s="30" t="n"/>
      <c r="O293" s="30" t="n"/>
      <c r="P293" s="30" t="n"/>
    </row>
    <row r="294" ht="33" customFormat="1" customHeight="1" s="31">
      <c r="A294" s="25" t="n"/>
      <c r="B294" s="125" t="n">
        <v>129</v>
      </c>
      <c r="C294" s="126" t="n">
        <v>2</v>
      </c>
      <c r="D294" s="26" t="n">
        <v>1</v>
      </c>
      <c r="E294" s="27" t="inlineStr">
        <is>
          <t>콘크리트</t>
        </is>
      </c>
      <c r="F294" s="28" t="inlineStr">
        <is>
          <t>데크플레이트</t>
        </is>
      </c>
      <c r="G294" s="34" t="inlineStr">
        <is>
          <t>﻿데크플레이트의 종류 및 시공순서를 열거하고, 설치작업 시 발생 가능한 재해유형, 문제점 및 안전대책에 대하여 설명하시오</t>
        </is>
      </c>
      <c r="H294" s="30" t="n"/>
      <c r="I294" s="30" t="n"/>
      <c r="J294" s="30" t="n"/>
      <c r="K294" s="30" t="n"/>
      <c r="L294" s="30" t="n"/>
      <c r="M294" s="30" t="n"/>
      <c r="O294" s="30" t="n"/>
      <c r="P294" s="30" t="n"/>
    </row>
    <row r="295" ht="33" customFormat="1" customHeight="1" s="31">
      <c r="A295" s="25" t="n"/>
      <c r="B295" s="125" t="n">
        <v>129</v>
      </c>
      <c r="C295" s="126" t="n">
        <v>2</v>
      </c>
      <c r="D295" s="26" t="n">
        <v>2</v>
      </c>
      <c r="E295" s="27" t="inlineStr">
        <is>
          <t>건설기계</t>
        </is>
      </c>
      <c r="F295" s="28" t="inlineStr">
        <is>
          <t>지게차</t>
        </is>
      </c>
      <c r="G295" s="34" t="inlineStr">
        <is>
          <t>﻿건설기계 중 지게차(Fork Lift)의 유해 위험요인 및 예방대책과 작업단계별(작업시작전과 작업 중) 안전점검사항에 대하여 설명하시오</t>
        </is>
      </c>
      <c r="H295" s="30" t="n"/>
      <c r="I295" s="30" t="n"/>
      <c r="J295" s="30" t="n"/>
      <c r="K295" s="30" t="n"/>
      <c r="L295" s="30" t="n"/>
      <c r="M295" s="30" t="n"/>
      <c r="O295" s="30" t="n"/>
      <c r="P295" s="30" t="n"/>
    </row>
    <row r="296" customFormat="1" s="31">
      <c r="A296" s="25" t="n"/>
      <c r="B296" s="125" t="n">
        <v>129</v>
      </c>
      <c r="C296" s="126" t="n">
        <v>2</v>
      </c>
      <c r="D296" s="26" t="n">
        <v>3</v>
      </c>
      <c r="E296" s="27" t="inlineStr">
        <is>
          <t>안전관리론</t>
        </is>
      </c>
      <c r="F296" s="28" t="inlineStr">
        <is>
          <t>하인리히 버드</t>
        </is>
      </c>
      <c r="G296" s="34" t="inlineStr">
        <is>
          <t>﻿하인리히 및 버드의 사고발생 연쇄성이론을 비교하여 설명하시오</t>
        </is>
      </c>
      <c r="H296" s="30" t="n"/>
      <c r="I296" s="30" t="n"/>
      <c r="J296" s="30" t="n"/>
      <c r="K296" s="30" t="n"/>
      <c r="L296" s="30" t="n"/>
      <c r="M296" s="30" t="n"/>
      <c r="O296" s="30" t="n"/>
      <c r="P296" s="30" t="n"/>
    </row>
    <row r="297" customFormat="1" s="31">
      <c r="A297" s="25" t="n"/>
      <c r="B297" s="125" t="n">
        <v>129</v>
      </c>
      <c r="C297" s="126" t="n">
        <v>2</v>
      </c>
      <c r="D297" s="26" t="n">
        <v>4</v>
      </c>
      <c r="E297" s="27" t="inlineStr">
        <is>
          <t>토공</t>
        </is>
      </c>
      <c r="F297" s="28" t="inlineStr">
        <is>
          <t>계측관리</t>
        </is>
      </c>
      <c r="G297" s="34" t="inlineStr">
        <is>
          <t>﻿토공사 중 계측관리의 목적, 계측항목별 계측기기의 종류 및 계측 시 고려사항에 대하여 설명하시오</t>
        </is>
      </c>
      <c r="H297" s="30" t="n"/>
      <c r="I297" s="30" t="n"/>
      <c r="J297" s="30" t="n"/>
      <c r="K297" s="30" t="n"/>
      <c r="L297" s="30" t="n"/>
      <c r="M297" s="30" t="n"/>
      <c r="O297" s="30" t="n"/>
      <c r="P297" s="30" t="n"/>
    </row>
    <row r="298" ht="33" customFormat="1" customHeight="1" s="31">
      <c r="A298" s="25" t="n"/>
      <c r="B298" s="125" t="n">
        <v>129</v>
      </c>
      <c r="C298" s="126" t="n">
        <v>2</v>
      </c>
      <c r="D298" s="26" t="n">
        <v>5</v>
      </c>
      <c r="E298" s="27" t="inlineStr">
        <is>
          <t>산안법</t>
        </is>
      </c>
      <c r="F298" s="28" t="inlineStr">
        <is>
          <t>정기안전보건교육</t>
        </is>
      </c>
      <c r="G298" s="34" t="inlineStr">
        <is>
          <t>﻿건설근로자를 대상으로 하는 정기안전보건교육과 건설업 기초안전보건교육의 교육내용과 시간을 제시하고 안전교육 실시자의 자격요건과 효과적인 안전교육방법에 대하여 설명하시오</t>
        </is>
      </c>
      <c r="H298" s="30" t="n"/>
      <c r="I298" s="30" t="n"/>
      <c r="J298" s="30" t="n"/>
      <c r="K298" s="30" t="n"/>
      <c r="L298" s="30" t="n"/>
      <c r="M298" s="30" t="n"/>
      <c r="O298" s="30" t="n"/>
      <c r="P298" s="30" t="n"/>
    </row>
    <row r="299" customFormat="1" s="31">
      <c r="A299" s="25" t="n"/>
      <c r="B299" s="125" t="n">
        <v>129</v>
      </c>
      <c r="C299" s="126" t="n">
        <v>2</v>
      </c>
      <c r="D299" s="26" t="n">
        <v>6</v>
      </c>
      <c r="E299" s="27" t="inlineStr">
        <is>
          <t>안전관리론</t>
        </is>
      </c>
      <c r="F299" s="28" t="inlineStr">
        <is>
          <t>시스템안전</t>
        </is>
      </c>
      <c r="G299" s="52" t="inlineStr">
        <is>
          <t>﻿건설현장의 시스템 안전(System Safety)에 대하여 설명하시오</t>
        </is>
      </c>
      <c r="H299" s="30" t="n"/>
      <c r="I299" s="30" t="n"/>
      <c r="J299" s="30" t="n"/>
      <c r="K299" s="30" t="n"/>
      <c r="L299" s="30" t="n"/>
      <c r="M299" s="30" t="n"/>
      <c r="O299" s="30" t="n"/>
      <c r="P299" s="30" t="n"/>
    </row>
    <row r="300" customFormat="1" s="31">
      <c r="A300" s="25" t="n"/>
      <c r="B300" s="125" t="n">
        <v>129</v>
      </c>
      <c r="C300" s="126" t="n">
        <v>3</v>
      </c>
      <c r="D300" s="26" t="n">
        <v>1</v>
      </c>
      <c r="E300" s="27" t="inlineStr">
        <is>
          <t>산안법</t>
        </is>
      </c>
      <c r="F300" s="28" t="inlineStr">
        <is>
          <t>산업안전보건관리비</t>
        </is>
      </c>
      <c r="G300" s="34" t="inlineStr">
        <is>
          <t>﻿산업안전보건관리비 계상 및 사용기준을 기술하고 최근(2022.6.2)개정 내용과 개정사유에 대하여 설명하시오</t>
        </is>
      </c>
      <c r="H300" s="30" t="n"/>
      <c r="I300" s="30" t="n"/>
      <c r="J300" s="30" t="n"/>
      <c r="K300" s="30" t="n"/>
      <c r="L300" s="30" t="n"/>
      <c r="M300" s="30" t="n"/>
      <c r="O300" s="30" t="n"/>
      <c r="P300" s="30" t="n"/>
    </row>
    <row r="301" ht="33" customFormat="1" customHeight="1" s="31">
      <c r="A301" s="25" t="n"/>
      <c r="B301" s="125" t="n">
        <v>129</v>
      </c>
      <c r="C301" s="126" t="n">
        <v>3</v>
      </c>
      <c r="D301" s="26" t="n">
        <v>2</v>
      </c>
      <c r="E301" s="27" t="inlineStr">
        <is>
          <t>산안법</t>
        </is>
      </c>
      <c r="F301" s="28" t="inlineStr">
        <is>
          <t>도급사업에 따른 산업재해예방</t>
        </is>
      </c>
      <c r="G301" s="34" t="inlineStr">
        <is>
          <t>﻿관계수급인 근로자가 도급인의 사업장에서 작업을 하는 경우, 근로자의 산업재해 예방을 위해 도급인이 이행하여야 할 사항에 대하여 설명하시오</t>
        </is>
      </c>
      <c r="H301" s="30" t="n"/>
      <c r="I301" s="30" t="n"/>
      <c r="J301" s="30" t="n"/>
      <c r="K301" s="30" t="n"/>
      <c r="L301" s="30" t="n"/>
      <c r="M301" s="30" t="n"/>
      <c r="O301" s="30" t="n"/>
      <c r="P301" s="30" t="n"/>
    </row>
    <row r="302" customFormat="1" s="31">
      <c r="A302" s="25" t="n"/>
      <c r="B302" s="125" t="n">
        <v>129</v>
      </c>
      <c r="C302" s="126" t="n">
        <v>3</v>
      </c>
      <c r="D302" s="26" t="n">
        <v>3</v>
      </c>
      <c r="E302" s="27" t="inlineStr">
        <is>
          <t>시사 이슈 문제</t>
        </is>
      </c>
      <c r="F302" s="28" t="inlineStr">
        <is>
          <t>스마트 건설기술</t>
        </is>
      </c>
      <c r="G302" s="34" t="inlineStr">
        <is>
          <t>﻿건설생산성 혁신 및 안전성 강화를 위한 스마트 건설기술의 정의, 종류 및 적용사례에 대하여 설명하시오</t>
        </is>
      </c>
      <c r="H302" s="30" t="n"/>
      <c r="I302" s="30" t="n"/>
      <c r="J302" s="30" t="n"/>
      <c r="K302" s="30" t="n"/>
      <c r="L302" s="30" t="n"/>
      <c r="M302" s="30" t="n"/>
      <c r="O302" s="30" t="n"/>
      <c r="P302" s="30" t="n"/>
    </row>
    <row r="303" ht="33" customFormat="1" customHeight="1" s="31">
      <c r="A303" s="25" t="n"/>
      <c r="B303" s="125" t="n">
        <v>129</v>
      </c>
      <c r="C303" s="126" t="n">
        <v>3</v>
      </c>
      <c r="D303" s="26" t="n">
        <v>4</v>
      </c>
      <c r="E303" s="27" t="inlineStr">
        <is>
          <t>가설공사</t>
        </is>
      </c>
      <c r="F303" s="28" t="inlineStr">
        <is>
          <t>비계</t>
        </is>
      </c>
      <c r="G303" s="34" t="inlineStr">
        <is>
          <t>﻿건설현장에서 사용하는 외부비계의 조립 해체시 발생 가능한 재해유형과 비계 종류별 설치기준 및 안전대책에 대하여 설명하시오</t>
        </is>
      </c>
      <c r="H303" s="30" t="n"/>
      <c r="I303" s="30" t="n"/>
      <c r="J303" s="30" t="n"/>
      <c r="K303" s="30" t="n"/>
      <c r="L303" s="30" t="n"/>
      <c r="M303" s="30" t="n"/>
      <c r="O303" s="30" t="n"/>
      <c r="P303" s="30" t="n"/>
    </row>
    <row r="304" ht="33" customFormat="1" customHeight="1" s="31">
      <c r="A304" s="25" t="n"/>
      <c r="B304" s="125" t="n">
        <v>129</v>
      </c>
      <c r="C304" s="126" t="n">
        <v>3</v>
      </c>
      <c r="D304" s="26" t="n">
        <v>5</v>
      </c>
      <c r="E304" s="27" t="inlineStr">
        <is>
          <t>산안법</t>
        </is>
      </c>
      <c r="F304" s="28" t="inlineStr">
        <is>
          <t>휴게시설</t>
        </is>
      </c>
      <c r="G304" s="34" t="inlineStr">
        <is>
          <t>﻿산업안전보건법령상 근로자가 휴식시간에 이용할 수 있는 휴게시설의 설치 대상 사업장 기준, 설치 의무자 및 설치기준을 설명하시오</t>
        </is>
      </c>
      <c r="H304" s="30" t="n"/>
      <c r="I304" s="30" t="n"/>
      <c r="J304" s="30" t="n"/>
      <c r="K304" s="30" t="n"/>
      <c r="L304" s="30" t="n"/>
      <c r="M304" s="30" t="n"/>
      <c r="O304" s="30" t="n"/>
      <c r="P304" s="30" t="n"/>
    </row>
    <row r="305" customFormat="1" s="31">
      <c r="A305" s="25" t="n"/>
      <c r="B305" s="125" t="n">
        <v>129</v>
      </c>
      <c r="C305" s="126" t="n">
        <v>3</v>
      </c>
      <c r="D305" s="26" t="n">
        <v>6</v>
      </c>
      <c r="E305" s="27" t="inlineStr">
        <is>
          <t>산안법</t>
        </is>
      </c>
      <c r="F305" s="28" t="inlineStr">
        <is>
          <t>위험성 평가</t>
        </is>
      </c>
      <c r="G305" s="34" t="inlineStr">
        <is>
          <t>﻿위혐성 평가의 정의, 평가시기, 평가방법 및 평가 시 주의사항에 대하여 설명하시오</t>
        </is>
      </c>
      <c r="H305" s="30" t="n"/>
      <c r="I305" s="30" t="n"/>
      <c r="J305" s="30" t="n"/>
      <c r="K305" s="30" t="n"/>
      <c r="L305" s="30" t="n"/>
      <c r="M305" s="30" t="n"/>
      <c r="O305" s="30" t="n"/>
      <c r="P305" s="30" t="n"/>
    </row>
    <row r="306" ht="33" customFormat="1" customHeight="1" s="31">
      <c r="A306" s="25" t="n"/>
      <c r="B306" s="125" t="n">
        <v>129</v>
      </c>
      <c r="C306" s="126" t="n">
        <v>4</v>
      </c>
      <c r="D306" s="26" t="n">
        <v>1</v>
      </c>
      <c r="E306" s="27" t="inlineStr">
        <is>
          <t>산안법</t>
        </is>
      </c>
      <c r="F306" s="28" t="inlineStr">
        <is>
          <t>밀폐공간</t>
        </is>
      </c>
      <c r="G306" s="34" t="inlineStr">
        <is>
          <t>﻿건설현장의 밀폐공간 작업 시 수행하여야 할 안전작업의 절차, 안전점검사항 및 관리감독자의 안전관리업무에 대하여 설명하시오</t>
        </is>
      </c>
      <c r="H306" s="30" t="n"/>
      <c r="I306" s="30" t="n"/>
      <c r="J306" s="30" t="n"/>
      <c r="K306" s="30" t="n"/>
      <c r="L306" s="30" t="n"/>
      <c r="M306" s="30" t="n"/>
      <c r="O306" s="30" t="n"/>
      <c r="P306" s="30" t="n"/>
    </row>
    <row r="307" ht="33" customFormat="1" customHeight="1" s="31">
      <c r="A307" s="25" t="n"/>
      <c r="B307" s="125" t="n">
        <v>129</v>
      </c>
      <c r="C307" s="126" t="n">
        <v>4</v>
      </c>
      <c r="D307" s="26" t="n">
        <v>2</v>
      </c>
      <c r="E307" s="27" t="inlineStr">
        <is>
          <t>안전관리론</t>
        </is>
      </c>
      <c r="F307" s="28" t="inlineStr">
        <is>
          <t>의식수준 부주의</t>
        </is>
      </c>
      <c r="G307" s="34" t="inlineStr">
        <is>
          <t>﻿건설 안전심리 중 인간의 긴장정도(Tension Level)를 표시하는 의식수준(5단계) 및 의식수준과 부주의 행동의 관계에 대하여 설명하시오</t>
        </is>
      </c>
      <c r="H307" s="30" t="n"/>
      <c r="I307" s="30" t="n"/>
      <c r="J307" s="30" t="n"/>
      <c r="K307" s="30" t="n"/>
      <c r="L307" s="30" t="n"/>
      <c r="M307" s="30" t="n"/>
      <c r="O307" s="30" t="n"/>
      <c r="P307" s="30" t="n"/>
    </row>
    <row r="308" customFormat="1" s="31">
      <c r="A308" s="25" t="n"/>
      <c r="B308" s="125" t="n">
        <v>129</v>
      </c>
      <c r="C308" s="126" t="n">
        <v>4</v>
      </c>
      <c r="D308" s="26" t="n">
        <v>3</v>
      </c>
      <c r="E308" s="27" t="inlineStr">
        <is>
          <t>안전관리론</t>
        </is>
      </c>
      <c r="F308" s="28" t="inlineStr">
        <is>
          <t>작업부하</t>
        </is>
      </c>
      <c r="G308" s="34" t="inlineStr">
        <is>
          <t>﻿작업부하의 정의, 작업부하 평가방법, 피로의 종류 및 원인에 대하여 설명하시오</t>
        </is>
      </c>
      <c r="H308" s="30" t="n"/>
      <c r="I308" s="30" t="n"/>
      <c r="J308" s="30" t="n"/>
      <c r="K308" s="30" t="n"/>
      <c r="L308" s="30" t="n"/>
      <c r="M308" s="30" t="n"/>
      <c r="O308" s="30" t="n"/>
      <c r="P308" s="30" t="n"/>
    </row>
    <row r="309" ht="33" customFormat="1" customHeight="1" s="31">
      <c r="A309" s="25" t="n"/>
      <c r="B309" s="125" t="n">
        <v>129</v>
      </c>
      <c r="C309" s="126" t="n">
        <v>4</v>
      </c>
      <c r="D309" s="26" t="n">
        <v>4</v>
      </c>
      <c r="E309" s="27" t="inlineStr">
        <is>
          <t>교량</t>
        </is>
      </c>
      <c r="F309" s="28" t="inlineStr">
        <is>
          <t>가설공법 FCM</t>
        </is>
      </c>
      <c r="G309" s="34" t="inlineStr">
        <is>
          <t>﻿교량공사의 FCM(Free Canilever Method)공법 및 시공순서에 대하여 기술하고 세그먼트(Segment)시공 중 위험요인과 안전대책에 대하여 설명하시오</t>
        </is>
      </c>
      <c r="H309" s="30" t="n"/>
      <c r="I309" s="30" t="n"/>
      <c r="J309" s="30" t="n"/>
      <c r="K309" s="30" t="n"/>
      <c r="L309" s="30" t="n"/>
      <c r="M309" s="30" t="n"/>
      <c r="O309" s="30" t="n"/>
      <c r="P309" s="30" t="n"/>
    </row>
    <row r="310" customFormat="1" s="31">
      <c r="A310" s="25" t="n"/>
      <c r="B310" s="125" t="n">
        <v>129</v>
      </c>
      <c r="C310" s="126" t="n">
        <v>4</v>
      </c>
      <c r="D310" s="26" t="n">
        <v>5</v>
      </c>
      <c r="E310" s="27" t="inlineStr">
        <is>
          <t>해체공사</t>
        </is>
      </c>
      <c r="F310" s="28" t="inlineStr">
        <is>
          <t>해체공사</t>
        </is>
      </c>
      <c r="G310" s="34" t="inlineStr">
        <is>
          <t>﻿해체공사의 안전작업 일반사항과 공법별 안전작업수칙을 설명하시오</t>
        </is>
      </c>
      <c r="H310" s="30" t="n"/>
      <c r="I310" s="30" t="n"/>
      <c r="J310" s="30" t="n"/>
      <c r="K310" s="30" t="n"/>
      <c r="L310" s="30" t="n"/>
      <c r="M310" s="30" t="n"/>
      <c r="O310" s="30" t="n"/>
      <c r="P310" s="30" t="n"/>
    </row>
    <row r="311" ht="33" customFormat="1" customHeight="1" s="31">
      <c r="A311" s="25" t="n"/>
      <c r="B311" s="125" t="n">
        <v>129</v>
      </c>
      <c r="C311" s="126" t="n">
        <v>4</v>
      </c>
      <c r="D311" s="26" t="n">
        <v>6</v>
      </c>
      <c r="E311" s="27" t="inlineStr">
        <is>
          <t>건설기계</t>
        </is>
      </c>
      <c r="F311" s="28" t="inlineStr">
        <is>
          <t>이동식 크레인</t>
        </is>
      </c>
      <c r="G311" s="34" t="inlineStr">
        <is>
          <t>﻿이동식 크레인의 설치 시 주의사항과 크레인을 이용한 작업 중 안전수칙, 운전원의 준수사항, 작업 종료 시 안전수칙에 대하여 설명하시오</t>
        </is>
      </c>
      <c r="H311" s="30" t="n"/>
      <c r="I311" s="30" t="n"/>
      <c r="J311" s="30" t="n"/>
      <c r="K311" s="30" t="n"/>
      <c r="L311" s="30" t="n"/>
      <c r="M311" s="30" t="n"/>
      <c r="O311" s="30" t="n"/>
      <c r="P311" s="30" t="n"/>
    </row>
    <row r="312">
      <c r="A312" s="11" t="n"/>
      <c r="B312" s="127" t="n">
        <v>128</v>
      </c>
      <c r="C312" s="128" t="n">
        <v>1</v>
      </c>
      <c r="D312" s="40" t="n">
        <v>1</v>
      </c>
      <c r="E312" s="41" t="inlineStr">
        <is>
          <t>산안법</t>
        </is>
      </c>
      <c r="F312" s="42" t="inlineStr">
        <is>
          <t>안전대</t>
        </is>
      </c>
      <c r="G312" s="43" t="inlineStr">
        <is>
          <t>안전대의 점검 및 폐기기준</t>
        </is>
      </c>
    </row>
    <row r="313">
      <c r="A313" s="11" t="n"/>
      <c r="B313" s="127" t="n">
        <v>128</v>
      </c>
      <c r="C313" s="128" t="n">
        <v>1</v>
      </c>
      <c r="D313" s="40" t="n">
        <v>2</v>
      </c>
      <c r="E313" s="41" t="inlineStr">
        <is>
          <t>산안법</t>
        </is>
      </c>
      <c r="F313" s="42" t="inlineStr">
        <is>
          <t>손보호구</t>
        </is>
      </c>
      <c r="G313" s="43" t="inlineStr">
        <is>
          <t>손보호구의 종류 및 특징</t>
        </is>
      </c>
    </row>
    <row r="314">
      <c r="A314" s="11" t="n"/>
      <c r="B314" s="127" t="n">
        <v>128</v>
      </c>
      <c r="C314" s="128" t="n">
        <v>1</v>
      </c>
      <c r="D314" s="40" t="n">
        <v>3</v>
      </c>
      <c r="E314" s="41" t="inlineStr">
        <is>
          <t>안전관리론</t>
        </is>
      </c>
      <c r="F314" s="42" t="inlineStr">
        <is>
          <t>버드재해연쇄성이론</t>
        </is>
      </c>
      <c r="G314" s="43" t="inlineStr">
        <is>
          <t>버드(Frank E. Bird)의 재해 연쇄성 이론</t>
        </is>
      </c>
    </row>
    <row r="315" customFormat="1" s="31">
      <c r="A315" s="25" t="n"/>
      <c r="B315" s="127" t="n">
        <v>128</v>
      </c>
      <c r="C315" s="128" t="n">
        <v>1</v>
      </c>
      <c r="D315" s="40" t="n">
        <v>4</v>
      </c>
      <c r="E315" s="41" t="inlineStr">
        <is>
          <t>산안법</t>
        </is>
      </c>
      <c r="F315" s="42" t="inlineStr">
        <is>
          <t>작업중지권</t>
        </is>
      </c>
      <c r="G315" s="43" t="inlineStr">
        <is>
          <t>근로자 작업중지권</t>
        </is>
      </c>
      <c r="H315" s="30" t="n"/>
      <c r="I315" s="30" t="n"/>
      <c r="J315" s="30" t="n"/>
      <c r="K315" s="30" t="n"/>
      <c r="L315" s="30" t="n"/>
      <c r="M315" s="30" t="n"/>
      <c r="N315" s="30" t="n"/>
      <c r="O315" s="30" t="n"/>
      <c r="P315" s="30" t="n"/>
    </row>
    <row r="316" customFormat="1" s="31">
      <c r="A316" s="25" t="n"/>
      <c r="B316" s="127" t="n">
        <v>128</v>
      </c>
      <c r="C316" s="128" t="n">
        <v>1</v>
      </c>
      <c r="D316" s="40" t="n">
        <v>5</v>
      </c>
      <c r="E316" s="41" t="inlineStr">
        <is>
          <t>콘크리트</t>
        </is>
      </c>
      <c r="F316" s="42" t="inlineStr">
        <is>
          <t>철근부식</t>
        </is>
      </c>
      <c r="G316" s="43" t="inlineStr">
        <is>
          <t>RC구조물의 철근부식 및 방지대책</t>
        </is>
      </c>
      <c r="H316" s="30" t="n"/>
      <c r="I316" s="30" t="n"/>
      <c r="J316" s="30" t="n"/>
      <c r="K316" s="30" t="n"/>
      <c r="L316" s="30" t="n"/>
      <c r="M316" s="30" t="n"/>
      <c r="N316" s="30" t="n"/>
      <c r="O316" s="30" t="n"/>
      <c r="P316" s="30" t="n"/>
    </row>
    <row r="317" customFormat="1" s="31">
      <c r="A317" s="25" t="n"/>
      <c r="B317" s="127" t="n">
        <v>128</v>
      </c>
      <c r="C317" s="128" t="n">
        <v>1</v>
      </c>
      <c r="D317" s="40" t="n">
        <v>6</v>
      </c>
      <c r="E317" s="41" t="inlineStr">
        <is>
          <t>콘크리트</t>
        </is>
      </c>
      <c r="F317" s="42" t="inlineStr">
        <is>
          <t>알칼리골재반응</t>
        </is>
      </c>
      <c r="G317" s="43" t="inlineStr">
        <is>
          <t>알칼리골재반응</t>
        </is>
      </c>
      <c r="H317" s="30" t="n"/>
      <c r="I317" s="30" t="n"/>
      <c r="J317" s="30" t="n"/>
      <c r="K317" s="30" t="n"/>
      <c r="L317" s="30" t="n"/>
      <c r="M317" s="30" t="n"/>
      <c r="N317" s="30" t="n"/>
      <c r="O317" s="30" t="n"/>
      <c r="P317" s="30" t="n"/>
    </row>
    <row r="318" customFormat="1" s="31">
      <c r="A318" s="25" t="n"/>
      <c r="B318" s="127" t="n">
        <v>128</v>
      </c>
      <c r="C318" s="128" t="n">
        <v>1</v>
      </c>
      <c r="D318" s="40" t="n">
        <v>7</v>
      </c>
      <c r="E318" s="41" t="inlineStr">
        <is>
          <t>산안법</t>
        </is>
      </c>
      <c r="F318" s="42" t="inlineStr">
        <is>
          <t>안전교육</t>
        </is>
      </c>
      <c r="G318" s="43" t="inlineStr">
        <is>
          <t>안전보건관련자 직무교육</t>
        </is>
      </c>
      <c r="H318" s="30" t="n"/>
      <c r="I318" s="30" t="n"/>
      <c r="J318" s="30" t="n"/>
      <c r="K318" s="30" t="n"/>
      <c r="L318" s="30" t="n"/>
      <c r="M318" s="30" t="n"/>
      <c r="N318" s="30" t="n"/>
      <c r="O318" s="30" t="n"/>
      <c r="P318" s="30" t="n"/>
    </row>
    <row r="319" customFormat="1" s="31">
      <c r="A319" s="25" t="n"/>
      <c r="B319" s="127" t="n">
        <v>128</v>
      </c>
      <c r="C319" s="128" t="n">
        <v>1</v>
      </c>
      <c r="D319" s="40" t="n">
        <v>8</v>
      </c>
      <c r="E319" s="41" t="inlineStr">
        <is>
          <t>산안법</t>
        </is>
      </c>
      <c r="F319" s="42" t="inlineStr">
        <is>
          <t>위험성 평가</t>
        </is>
      </c>
      <c r="G319" s="43" t="inlineStr">
        <is>
          <t>위험성평가 절차, 유해·위험요인 파악방법 및 위험성 추정방법</t>
        </is>
      </c>
      <c r="H319" s="30" t="n"/>
      <c r="I319" s="30" t="n"/>
      <c r="J319" s="30" t="n"/>
      <c r="K319" s="30" t="n"/>
      <c r="L319" s="30" t="n"/>
      <c r="M319" s="30" t="n"/>
      <c r="N319" s="30" t="n"/>
      <c r="O319" s="30" t="n"/>
      <c r="P319" s="30" t="n"/>
    </row>
    <row r="320" customFormat="1" s="31">
      <c r="A320" s="25" t="n"/>
      <c r="B320" s="127" t="n">
        <v>128</v>
      </c>
      <c r="C320" s="128" t="n">
        <v>1</v>
      </c>
      <c r="D320" s="40" t="n">
        <v>9</v>
      </c>
      <c r="E320" s="41" t="inlineStr">
        <is>
          <t>산안법</t>
        </is>
      </c>
      <c r="F320" s="42" t="inlineStr">
        <is>
          <t>사고사망만인율</t>
        </is>
      </c>
      <c r="G320" s="43" t="inlineStr">
        <is>
          <t>건설업체 사고사망만인율의 산정목적, 대상, 산정 방법</t>
        </is>
      </c>
      <c r="H320" s="30" t="n"/>
      <c r="I320" s="30" t="n"/>
      <c r="J320" s="30" t="n"/>
      <c r="K320" s="30" t="n"/>
      <c r="L320" s="30" t="n"/>
      <c r="M320" s="30" t="n"/>
      <c r="N320" s="30" t="n"/>
      <c r="O320" s="30" t="n"/>
      <c r="P320" s="30" t="n"/>
    </row>
    <row r="321" customFormat="1" s="31">
      <c r="A321" s="25" t="n"/>
      <c r="B321" s="127" t="n">
        <v>128</v>
      </c>
      <c r="C321" s="128" t="n">
        <v>1</v>
      </c>
      <c r="D321" s="40" t="n">
        <v>10</v>
      </c>
      <c r="E321" s="41" t="inlineStr">
        <is>
          <t>안전관리론</t>
        </is>
      </c>
      <c r="F321" s="42" t="inlineStr">
        <is>
          <t>성격5요인</t>
        </is>
      </c>
      <c r="G321" s="43" t="inlineStr">
        <is>
          <t>산업심리에서 성격 5요인(Big 5Factor)</t>
        </is>
      </c>
      <c r="H321" s="30" t="n"/>
      <c r="I321" s="30" t="n"/>
      <c r="J321" s="30" t="n"/>
      <c r="K321" s="30" t="n"/>
      <c r="L321" s="30" t="n"/>
      <c r="M321" s="30" t="n"/>
      <c r="N321" s="30" t="n"/>
      <c r="O321" s="30" t="n"/>
      <c r="P321" s="30" t="n"/>
    </row>
    <row r="322" customFormat="1" s="31">
      <c r="A322" s="25" t="n"/>
      <c r="B322" s="127" t="n">
        <v>128</v>
      </c>
      <c r="C322" s="128" t="n">
        <v>1</v>
      </c>
      <c r="D322" s="40" t="n">
        <v>11</v>
      </c>
      <c r="E322" s="41" t="inlineStr">
        <is>
          <t>시설물안전법</t>
        </is>
      </c>
      <c r="F322" s="42" t="inlineStr">
        <is>
          <t>콘크리트 강도시험</t>
        </is>
      </c>
      <c r="G322" s="43" t="inlineStr">
        <is>
          <t>시설물 안전진단 시 콘크리트 강도시험방법</t>
        </is>
      </c>
      <c r="H322" s="30" t="n"/>
      <c r="I322" s="30" t="n"/>
      <c r="J322" s="30" t="n"/>
      <c r="K322" s="30" t="n"/>
      <c r="L322" s="30" t="n"/>
      <c r="M322" s="30" t="n"/>
      <c r="N322" s="30" t="n"/>
      <c r="O322" s="30" t="n"/>
      <c r="P322" s="30" t="n"/>
    </row>
    <row r="323" customFormat="1" s="31">
      <c r="A323" s="25" t="n"/>
      <c r="B323" s="127" t="n">
        <v>128</v>
      </c>
      <c r="C323" s="128" t="n">
        <v>1</v>
      </c>
      <c r="D323" s="40" t="n">
        <v>12</v>
      </c>
      <c r="E323" s="41" t="inlineStr">
        <is>
          <t>산안법</t>
        </is>
      </c>
      <c r="F323" s="42" t="inlineStr">
        <is>
          <t>밀폐공간</t>
        </is>
      </c>
      <c r="G323" s="43" t="inlineStr">
        <is>
          <t>밀폐공간 작업프로그램 및 확인사항 `</t>
        </is>
      </c>
      <c r="H323" s="30" t="n"/>
      <c r="I323" s="30" t="n"/>
      <c r="J323" s="30" t="n"/>
      <c r="K323" s="30" t="n"/>
      <c r="L323" s="30" t="n"/>
      <c r="M323" s="30" t="n"/>
      <c r="N323" s="30" t="n"/>
      <c r="O323" s="30" t="n"/>
      <c r="P323" s="30" t="n"/>
    </row>
    <row r="324" customFormat="1" s="31">
      <c r="A324" s="25" t="n"/>
      <c r="B324" s="127" t="n">
        <v>128</v>
      </c>
      <c r="C324" s="128" t="n">
        <v>1</v>
      </c>
      <c r="D324" s="40" t="n">
        <v>13</v>
      </c>
      <c r="E324" s="41" t="inlineStr">
        <is>
          <t>재해유형</t>
        </is>
      </c>
      <c r="F324" s="42" t="inlineStr">
        <is>
          <t>임시소방시설</t>
        </is>
      </c>
      <c r="G324" s="43" t="inlineStr">
        <is>
          <t>건설현장의 임시소방시설 종류와 임시소방시설을 설치해야 하는 화재위험작업</t>
        </is>
      </c>
      <c r="H324" s="30" t="n"/>
      <c r="I324" s="30" t="n"/>
      <c r="J324" s="30" t="n"/>
      <c r="K324" s="30" t="n"/>
      <c r="L324" s="30" t="n"/>
      <c r="M324" s="30" t="n"/>
      <c r="N324" s="30" t="n"/>
      <c r="O324" s="30" t="n"/>
      <c r="P324" s="30" t="n"/>
    </row>
    <row r="325" customFormat="1" s="31">
      <c r="A325" s="25" t="n"/>
      <c r="B325" s="127" t="n">
        <v>128</v>
      </c>
      <c r="C325" s="128" t="n">
        <v>2</v>
      </c>
      <c r="D325" s="40" t="n">
        <v>1</v>
      </c>
      <c r="E325" s="41" t="inlineStr">
        <is>
          <t>안전관리론</t>
        </is>
      </c>
      <c r="F325" s="42" t="inlineStr">
        <is>
          <t>Risk Management</t>
        </is>
      </c>
      <c r="G325" s="43" t="inlineStr">
        <is>
          <t>Risk Management의 종류, 순서 및 목적에 대하여 설명하시오.</t>
        </is>
      </c>
      <c r="H325" s="30" t="n"/>
      <c r="I325" s="30" t="n"/>
      <c r="J325" s="30" t="n"/>
      <c r="K325" s="30" t="n"/>
      <c r="L325" s="30" t="n"/>
      <c r="M325" s="30" t="n"/>
      <c r="N325" s="30" t="n"/>
      <c r="O325" s="30" t="n"/>
      <c r="P325" s="30" t="n"/>
    </row>
    <row r="326" customFormat="1" s="31">
      <c r="A326" s="25" t="n"/>
      <c r="B326" s="127" t="n">
        <v>128</v>
      </c>
      <c r="C326" s="128" t="n">
        <v>2</v>
      </c>
      <c r="D326" s="40" t="n">
        <v>2</v>
      </c>
      <c r="E326" s="44" t="inlineStr">
        <is>
          <t>안전관리론</t>
        </is>
      </c>
      <c r="F326" s="45" t="inlineStr">
        <is>
          <t>고령근로자</t>
        </is>
      </c>
      <c r="G326" s="43" t="inlineStr">
        <is>
          <t>고령근로자의 재해 발생원인과 예방대책에 대하여 설명하시오.</t>
        </is>
      </c>
      <c r="H326" s="30" t="n"/>
      <c r="I326" s="30" t="n"/>
      <c r="J326" s="30" t="n"/>
      <c r="K326" s="30" t="n"/>
      <c r="L326" s="30" t="n"/>
      <c r="M326" s="30" t="n"/>
      <c r="N326" s="30" t="n"/>
      <c r="O326" s="30" t="n"/>
      <c r="P326" s="30" t="n"/>
    </row>
    <row r="327" customFormat="1" s="31">
      <c r="A327" s="25" t="n"/>
      <c r="B327" s="127" t="n">
        <v>128</v>
      </c>
      <c r="C327" s="128" t="n">
        <v>2</v>
      </c>
      <c r="D327" s="40" t="n">
        <v>3</v>
      </c>
      <c r="E327" s="41" t="inlineStr">
        <is>
          <t>지특법</t>
        </is>
      </c>
      <c r="F327" s="42" t="inlineStr">
        <is>
          <t>지하</t>
        </is>
      </c>
      <c r="G327" s="43" t="inlineStr">
        <is>
          <t xml:space="preserve">지하안전평가 대상사업, 평가항목 및 방법에 대하여 설명하시오. </t>
        </is>
      </c>
      <c r="H327" s="30" t="n"/>
      <c r="I327" s="30" t="n"/>
      <c r="J327" s="30" t="n"/>
      <c r="K327" s="30" t="n"/>
      <c r="L327" s="30" t="n"/>
      <c r="M327" s="30" t="n"/>
      <c r="N327" s="30" t="n"/>
      <c r="O327" s="30" t="n"/>
      <c r="P327" s="30" t="n"/>
    </row>
    <row r="328" customFormat="1" s="31">
      <c r="A328" s="25" t="n"/>
      <c r="B328" s="127" t="n">
        <v>128</v>
      </c>
      <c r="C328" s="128" t="n">
        <v>2</v>
      </c>
      <c r="D328" s="40" t="n">
        <v>4</v>
      </c>
      <c r="E328" s="41" t="inlineStr">
        <is>
          <t>가설공사</t>
        </is>
      </c>
      <c r="F328" s="42" t="inlineStr">
        <is>
          <t>비계 설계시 고려하중</t>
        </is>
      </c>
      <c r="G328" s="43" t="inlineStr">
        <is>
          <t>비계의 설계 시 고려해야 할 하중에 대하여 설명하시오.</t>
        </is>
      </c>
      <c r="H328" s="30" t="n"/>
      <c r="I328" s="30" t="n"/>
      <c r="J328" s="30" t="n"/>
      <c r="K328" s="30" t="n"/>
      <c r="L328" s="30" t="n"/>
      <c r="M328" s="30" t="n"/>
      <c r="N328" s="30" t="n"/>
      <c r="O328" s="30" t="n"/>
      <c r="P328" s="30" t="n"/>
    </row>
    <row r="329" customFormat="1" s="31">
      <c r="A329" s="25" t="n"/>
      <c r="B329" s="127" t="n">
        <v>128</v>
      </c>
      <c r="C329" s="128" t="n">
        <v>2</v>
      </c>
      <c r="D329" s="40" t="n">
        <v>5</v>
      </c>
      <c r="E329" s="41" t="inlineStr">
        <is>
          <t>기초</t>
        </is>
      </c>
      <c r="F329" s="42" t="inlineStr">
        <is>
          <t>흙막이</t>
        </is>
      </c>
      <c r="G329" s="43" t="inlineStr">
        <is>
          <t>흙막이공사의 시공계획 수립 시 포함되어야 할 내용과 시공 시 관리사항에 대하여 설명하시오.</t>
        </is>
      </c>
      <c r="H329" s="30" t="n"/>
      <c r="I329" s="30" t="n"/>
      <c r="J329" s="30" t="n"/>
      <c r="K329" s="30" t="n"/>
      <c r="L329" s="30" t="n"/>
      <c r="M329" s="30" t="n"/>
      <c r="N329" s="30" t="n"/>
      <c r="O329" s="30" t="n"/>
      <c r="P329" s="30" t="n"/>
    </row>
    <row r="330" ht="33" customFormat="1" customHeight="1" s="31">
      <c r="A330" s="25" t="n"/>
      <c r="B330" s="127" t="n">
        <v>128</v>
      </c>
      <c r="C330" s="128" t="n">
        <v>2</v>
      </c>
      <c r="D330" s="40" t="n">
        <v>6</v>
      </c>
      <c r="E330" s="41" t="inlineStr">
        <is>
          <t>산안법</t>
        </is>
      </c>
      <c r="F330" s="42" t="inlineStr">
        <is>
          <t>유기용제와 중금속</t>
        </is>
      </c>
      <c r="G330" s="43" t="inlineStr">
        <is>
          <t>건설공사에서 사용되는 자재의 유해인자 중 유기용제와 중금속에 의한 건강장애 및 근로자의 보건상 
조치에 대하여 설명하시오.</t>
        </is>
      </c>
      <c r="H330" s="30" t="n"/>
      <c r="I330" s="30" t="n"/>
      <c r="J330" s="30" t="n"/>
      <c r="K330" s="30" t="n"/>
      <c r="L330" s="30" t="n"/>
      <c r="M330" s="30" t="n"/>
      <c r="N330" s="30" t="n"/>
      <c r="O330" s="30" t="n"/>
      <c r="P330" s="30" t="n"/>
    </row>
    <row r="331" customFormat="1" s="31">
      <c r="A331" s="25" t="n"/>
      <c r="B331" s="127" t="n">
        <v>128</v>
      </c>
      <c r="C331" s="128" t="n">
        <v>3</v>
      </c>
      <c r="D331" s="40" t="n">
        <v>1</v>
      </c>
      <c r="E331" s="41" t="inlineStr">
        <is>
          <t>산안법</t>
        </is>
      </c>
      <c r="F331" s="42" t="inlineStr">
        <is>
          <t>근골격계 질환</t>
        </is>
      </c>
      <c r="G331" s="43" t="inlineStr">
        <is>
          <t>건설현장 작업 시 근골격계 질환의 재해원인과 예방대책에 대하여 설명하시오.</t>
        </is>
      </c>
      <c r="H331" s="30" t="n"/>
      <c r="I331" s="30" t="n"/>
      <c r="J331" s="30" t="n"/>
      <c r="K331" s="30" t="n"/>
      <c r="L331" s="30" t="n"/>
      <c r="M331" s="30" t="n"/>
      <c r="N331" s="30" t="n"/>
      <c r="O331" s="30" t="n"/>
      <c r="P331" s="30" t="n"/>
    </row>
    <row r="332" ht="33" customFormat="1" customHeight="1" s="31">
      <c r="A332" s="25" t="n"/>
      <c r="B332" s="127" t="n">
        <v>128</v>
      </c>
      <c r="C332" s="128" t="n">
        <v>3</v>
      </c>
      <c r="D332" s="40" t="n">
        <v>2</v>
      </c>
      <c r="E332" s="41" t="inlineStr">
        <is>
          <t>건진법</t>
        </is>
      </c>
      <c r="F332" s="42" t="inlineStr">
        <is>
          <t>안전점검</t>
        </is>
      </c>
      <c r="G332" s="43" t="inlineStr">
        <is>
          <t>시공자가 수행하여야 하는 안전점검의 목적, 종류 및 안전점검표 작성에 대하여 설명 하고, 법정(산업안전보건법, 건설기술진흥법) 안전점검에 대하여 설명하시오.</t>
        </is>
      </c>
      <c r="H332" s="30" t="n"/>
      <c r="I332" s="30" t="n"/>
      <c r="J332" s="30" t="n"/>
      <c r="K332" s="30" t="n"/>
      <c r="L332" s="30" t="n"/>
      <c r="M332" s="30" t="n"/>
      <c r="N332" s="30" t="n"/>
      <c r="O332" s="30" t="n"/>
      <c r="P332" s="30" t="n"/>
    </row>
    <row r="333" customFormat="1" s="31">
      <c r="A333" s="25" t="n"/>
      <c r="B333" s="127" t="n">
        <v>128</v>
      </c>
      <c r="C333" s="128" t="n">
        <v>3</v>
      </c>
      <c r="D333" s="40" t="n">
        <v>3</v>
      </c>
      <c r="E333" s="41" t="inlineStr">
        <is>
          <t>콘크리트</t>
        </is>
      </c>
      <c r="F333" s="42" t="inlineStr">
        <is>
          <t>이어치기</t>
        </is>
      </c>
      <c r="G333" s="43" t="inlineStr">
        <is>
          <t>콘크리트 타설 중 이어치기 시공 시 주의사항에 대하여 설명하시오.</t>
        </is>
      </c>
      <c r="H333" s="30" t="n"/>
      <c r="I333" s="30" t="n"/>
      <c r="J333" s="30" t="n"/>
      <c r="K333" s="30" t="n"/>
      <c r="L333" s="30" t="n"/>
      <c r="M333" s="30" t="n"/>
      <c r="N333" s="30" t="n"/>
      <c r="O333" s="30" t="n"/>
      <c r="P333" s="30" t="n"/>
    </row>
    <row r="334" customFormat="1" s="31">
      <c r="A334" s="25" t="n"/>
      <c r="B334" s="127" t="n">
        <v>128</v>
      </c>
      <c r="C334" s="128" t="n">
        <v>3</v>
      </c>
      <c r="D334" s="40" t="n">
        <v>4</v>
      </c>
      <c r="E334" s="41" t="inlineStr">
        <is>
          <t>해체공사</t>
        </is>
      </c>
      <c r="F334" s="42" t="inlineStr">
        <is>
          <t>압쇄기</t>
        </is>
      </c>
      <c r="G334" s="43" t="inlineStr">
        <is>
          <t>압쇄기를 사용하는 구조물 해체공사 작업계획 수립 시 안전대책에 대하여 설명하시오.</t>
        </is>
      </c>
      <c r="H334" s="30" t="n"/>
      <c r="I334" s="30" t="n"/>
      <c r="J334" s="30" t="n"/>
      <c r="K334" s="30" t="n"/>
      <c r="L334" s="30" t="n"/>
      <c r="M334" s="30" t="n"/>
      <c r="N334" s="30" t="n"/>
      <c r="O334" s="30" t="n"/>
      <c r="P334" s="30" t="n"/>
    </row>
    <row r="335" customFormat="1" s="31">
      <c r="A335" s="25" t="n"/>
      <c r="B335" s="127" t="n">
        <v>128</v>
      </c>
      <c r="C335" s="128" t="n">
        <v>3</v>
      </c>
      <c r="D335" s="40" t="n">
        <v>5</v>
      </c>
      <c r="E335" s="41" t="inlineStr">
        <is>
          <t>교량</t>
        </is>
      </c>
      <c r="F335" s="42" t="inlineStr">
        <is>
          <t>슬라브 붕괴_거푸동바리</t>
        </is>
      </c>
      <c r="G335" s="43" t="inlineStr">
        <is>
          <t>철근콘크리트 교량의 상부구조물인 슬라브(상판) 시공 시 붕괴원인과 안전대책에 대하여 설명하시오.</t>
        </is>
      </c>
      <c r="H335" s="30" t="n"/>
      <c r="I335" s="30" t="n"/>
      <c r="J335" s="30" t="n"/>
      <c r="K335" s="30" t="n"/>
      <c r="L335" s="30" t="n"/>
      <c r="M335" s="30" t="n"/>
      <c r="N335" s="30" t="n"/>
      <c r="O335" s="30" t="n"/>
      <c r="P335" s="30" t="n"/>
    </row>
    <row r="336" customFormat="1" s="31">
      <c r="A336" s="25" t="n"/>
      <c r="B336" s="127" t="n">
        <v>128</v>
      </c>
      <c r="C336" s="128" t="n">
        <v>3</v>
      </c>
      <c r="D336" s="40" t="n">
        <v>6</v>
      </c>
      <c r="E336" s="41" t="inlineStr">
        <is>
          <t>터널</t>
        </is>
      </c>
      <c r="F336" s="42" t="inlineStr">
        <is>
          <t>터널 작업환경</t>
        </is>
      </c>
      <c r="G336" s="43" t="inlineStr">
        <is>
          <t>터널공사에서 작업환경 불량요인과 개선대책에 대하여 설명하시오.</t>
        </is>
      </c>
      <c r="H336" s="30" t="n"/>
      <c r="I336" s="30" t="n"/>
      <c r="J336" s="30" t="n"/>
      <c r="K336" s="30" t="n"/>
      <c r="L336" s="30" t="n"/>
      <c r="M336" s="30" t="n"/>
      <c r="N336" s="30" t="n"/>
      <c r="O336" s="30" t="n"/>
      <c r="P336" s="30" t="n"/>
    </row>
    <row r="337" customFormat="1" s="31">
      <c r="A337" s="25" t="n"/>
      <c r="B337" s="127" t="n">
        <v>128</v>
      </c>
      <c r="C337" s="128" t="n">
        <v>4</v>
      </c>
      <c r="D337" s="40" t="n">
        <v>1</v>
      </c>
      <c r="E337" s="41" t="inlineStr">
        <is>
          <t>산안법</t>
        </is>
      </c>
      <c r="F337" s="42" t="inlineStr">
        <is>
          <t>KOSHA-MS</t>
        </is>
      </c>
      <c r="G337" s="46" t="inlineStr">
        <is>
          <t>건설업 KOSHA-MS의 인증절차, 심사종류 및 인증취소조건에 대하여 설명하시오.</t>
        </is>
      </c>
      <c r="H337" s="30" t="n"/>
      <c r="I337" s="30" t="n"/>
      <c r="J337" s="30" t="n"/>
      <c r="K337" s="30" t="n"/>
      <c r="L337" s="30" t="n"/>
      <c r="M337" s="30" t="n"/>
      <c r="N337" s="30" t="n"/>
      <c r="O337" s="30" t="n"/>
      <c r="P337" s="30" t="n"/>
    </row>
    <row r="338" ht="33" customFormat="1" customHeight="1" s="31">
      <c r="A338" s="25" t="n"/>
      <c r="B338" s="127" t="n">
        <v>128</v>
      </c>
      <c r="C338" s="128" t="n">
        <v>4</v>
      </c>
      <c r="D338" s="40" t="n">
        <v>2</v>
      </c>
      <c r="E338" s="41" t="inlineStr">
        <is>
          <t>산안법</t>
        </is>
      </c>
      <c r="F338" s="42" t="inlineStr">
        <is>
          <t>도급사업에 따른 산업재해예방, 설계변경요청</t>
        </is>
      </c>
      <c r="G338" s="43" t="inlineStr">
        <is>
          <t>산업안전보건법상 도급사업에 따른 산업재해 예방조치, 설계변경 요청대상 및 설계 변경 요청 시 첨부서류에 대하여 설명하시오.</t>
        </is>
      </c>
      <c r="H338" s="30" t="n"/>
      <c r="I338" s="30" t="n"/>
      <c r="J338" s="30" t="n"/>
      <c r="K338" s="30" t="n"/>
      <c r="L338" s="30" t="n"/>
      <c r="M338" s="30" t="n"/>
      <c r="N338" s="30" t="n"/>
      <c r="O338" s="30" t="n"/>
      <c r="P338" s="30" t="n"/>
    </row>
    <row r="339" ht="33" customFormat="1" customHeight="1" s="31">
      <c r="A339" s="25" t="n"/>
      <c r="B339" s="127" t="n">
        <v>128</v>
      </c>
      <c r="C339" s="128" t="n">
        <v>4</v>
      </c>
      <c r="D339" s="40" t="n">
        <v>3</v>
      </c>
      <c r="E339" s="41" t="inlineStr">
        <is>
          <t>중대재해처벌법</t>
        </is>
      </c>
      <c r="F339" s="42" t="inlineStr">
        <is>
          <t>사업주와 경영책임자의 안전보건의무</t>
        </is>
      </c>
      <c r="G339" s="43" t="inlineStr">
        <is>
          <t>산업안전보건법과 중대재해처벌법의 목적을 설명하고, 중대재해처벌법의 사업주와 경영책임자 등의 안전 및 보건 확보의무 주요 4가지 사항에 대하여 설명하시오.</t>
        </is>
      </c>
      <c r="H339" s="30" t="n"/>
      <c r="I339" s="30" t="n"/>
      <c r="J339" s="30" t="n"/>
      <c r="K339" s="30" t="n"/>
      <c r="L339" s="30" t="n"/>
      <c r="M339" s="30" t="n"/>
      <c r="N339" s="30" t="n"/>
      <c r="O339" s="30" t="n"/>
      <c r="P339" s="30" t="n"/>
    </row>
    <row r="340" customFormat="1" s="31">
      <c r="A340" s="25" t="n"/>
      <c r="B340" s="127" t="n">
        <v>128</v>
      </c>
      <c r="C340" s="128" t="n">
        <v>4</v>
      </c>
      <c r="D340" s="40" t="n">
        <v>4</v>
      </c>
      <c r="E340" s="41" t="inlineStr">
        <is>
          <t>가설공사</t>
        </is>
      </c>
      <c r="F340" s="42" t="n"/>
      <c r="G340" s="43" t="inlineStr">
        <is>
          <t>시스템비계 설치 및 해체공사 시 안전사항에 대하여 설명하시오.</t>
        </is>
      </c>
      <c r="H340" s="30" t="n"/>
      <c r="I340" s="30" t="n"/>
      <c r="J340" s="30" t="n"/>
      <c r="K340" s="30" t="n"/>
      <c r="L340" s="30" t="n"/>
      <c r="M340" s="30" t="n"/>
      <c r="N340" s="30" t="n"/>
      <c r="O340" s="30" t="n"/>
      <c r="P340" s="30" t="n"/>
    </row>
    <row r="341" ht="33" customFormat="1" customHeight="1" s="31">
      <c r="A341" s="25" t="n"/>
      <c r="B341" s="127" t="n">
        <v>128</v>
      </c>
      <c r="C341" s="128" t="n">
        <v>4</v>
      </c>
      <c r="D341" s="40" t="n">
        <v>5</v>
      </c>
      <c r="E341" s="41" t="inlineStr">
        <is>
          <t>건설기계</t>
        </is>
      </c>
      <c r="F341" s="42" t="inlineStr">
        <is>
          <t>굴착기</t>
        </is>
      </c>
      <c r="G341" s="43" t="inlineStr">
        <is>
          <t>건설현장의 굴착기 작업 시 재해유형별 안전대책과 인양작업이 가능한 굴착기의 충족 조건에 대하여 설명하시오.</t>
        </is>
      </c>
      <c r="H341" s="30" t="n"/>
      <c r="I341" s="30" t="n"/>
      <c r="J341" s="30" t="n"/>
      <c r="K341" s="30" t="n"/>
      <c r="L341" s="30" t="n"/>
      <c r="M341" s="30" t="n"/>
      <c r="N341" s="30" t="n"/>
      <c r="O341" s="30" t="n"/>
      <c r="P341" s="30" t="n"/>
    </row>
    <row r="342" ht="33" customFormat="1" customHeight="1" s="31">
      <c r="A342" s="25" t="n"/>
      <c r="B342" s="127" t="n">
        <v>128</v>
      </c>
      <c r="C342" s="128" t="n">
        <v>4</v>
      </c>
      <c r="D342" s="40" t="n">
        <v>6</v>
      </c>
      <c r="E342" s="41" t="inlineStr">
        <is>
          <t>토공</t>
        </is>
      </c>
      <c r="F342" s="42" t="inlineStr">
        <is>
          <t>사면안정</t>
        </is>
      </c>
      <c r="G342" s="43" t="inlineStr">
        <is>
          <t>사면붕괴의 종류와 형태 및 원인을 설명하고 사면의 불안정 조사방법과 안정 검토 방법 및 사면의 안정대책에 대하여 설명하시오.</t>
        </is>
      </c>
      <c r="H342" s="30" t="n"/>
      <c r="I342" s="30" t="n"/>
      <c r="J342" s="30" t="n"/>
      <c r="K342" s="30" t="n"/>
      <c r="L342" s="30" t="n"/>
      <c r="M342" s="30" t="n"/>
      <c r="N342" s="30" t="n"/>
      <c r="O342" s="30" t="n"/>
      <c r="P342" s="30" t="n"/>
    </row>
    <row r="343" customFormat="1" s="31">
      <c r="A343" s="25" t="n"/>
      <c r="B343" s="125" t="n">
        <v>127</v>
      </c>
      <c r="C343" s="126" t="n">
        <v>1</v>
      </c>
      <c r="D343" s="26" t="n">
        <v>1</v>
      </c>
      <c r="E343" s="27" t="inlineStr">
        <is>
          <t>가설공사</t>
        </is>
      </c>
      <c r="F343" s="28" t="inlineStr">
        <is>
          <t>가설계단</t>
        </is>
      </c>
      <c r="G343" s="35" t="inlineStr">
        <is>
          <t>1. 가설계단의 설치기준</t>
        </is>
      </c>
      <c r="H343" s="30" t="n"/>
      <c r="I343" s="30" t="n"/>
      <c r="J343" s="30" t="n"/>
      <c r="K343" s="30" t="n"/>
      <c r="L343" s="30" t="n"/>
      <c r="M343" s="30" t="n"/>
      <c r="N343" s="30" t="n"/>
      <c r="O343" s="30" t="n"/>
      <c r="P343" s="30" t="n"/>
    </row>
    <row r="344" customFormat="1" s="31">
      <c r="A344" s="25" t="n"/>
      <c r="B344" s="125" t="n">
        <v>127</v>
      </c>
      <c r="C344" s="126" t="n">
        <v>1</v>
      </c>
      <c r="D344" s="26" t="n">
        <v>2</v>
      </c>
      <c r="E344" s="27" t="inlineStr">
        <is>
          <t>콘크리트</t>
        </is>
      </c>
      <c r="F344" s="28" t="inlineStr">
        <is>
          <t>물-결합재비</t>
        </is>
      </c>
      <c r="G344" s="35" t="inlineStr">
        <is>
          <t>2. 콘크리트의 물-결합재비(water_-binder ratio)</t>
        </is>
      </c>
      <c r="H344" s="30" t="n"/>
      <c r="I344" s="30" t="n"/>
      <c r="J344" s="30" t="n"/>
      <c r="K344" s="30" t="n"/>
      <c r="L344" s="30" t="n"/>
      <c r="M344" s="30" t="n"/>
      <c r="N344" s="30" t="n"/>
      <c r="O344" s="30" t="n"/>
      <c r="P344" s="30" t="n"/>
    </row>
    <row r="345" customFormat="1" s="31">
      <c r="A345" s="25" t="n"/>
      <c r="B345" s="125" t="n">
        <v>127</v>
      </c>
      <c r="C345" s="126" t="n">
        <v>1</v>
      </c>
      <c r="D345" s="26" t="n">
        <v>3</v>
      </c>
      <c r="E345" s="27" t="inlineStr">
        <is>
          <t>건진법</t>
        </is>
      </c>
      <c r="F345" s="28" t="inlineStr">
        <is>
          <t>DFS</t>
        </is>
      </c>
      <c r="G345" s="35" t="inlineStr">
        <is>
          <t>3. 건설공사 시 설계안전성검토 절차</t>
        </is>
      </c>
      <c r="H345" s="30" t="n"/>
      <c r="I345" s="30" t="n"/>
      <c r="J345" s="30" t="n"/>
      <c r="K345" s="30" t="n"/>
      <c r="L345" s="30" t="n"/>
      <c r="M345" s="30" t="n"/>
      <c r="N345" s="30" t="n"/>
      <c r="O345" s="30" t="n"/>
      <c r="P345" s="30" t="n"/>
    </row>
    <row r="346" customFormat="1" s="31">
      <c r="A346" s="25" t="n"/>
      <c r="B346" s="125" t="n">
        <v>127</v>
      </c>
      <c r="C346" s="126" t="n">
        <v>1</v>
      </c>
      <c r="D346" s="26" t="n">
        <v>4</v>
      </c>
      <c r="E346" s="27" t="inlineStr">
        <is>
          <t>중대재해처벌법</t>
        </is>
      </c>
      <c r="F346" s="28" t="inlineStr">
        <is>
          <t>중대산업재해</t>
        </is>
      </c>
      <c r="G346" s="35" t="inlineStr">
        <is>
          <t>4. 중대산업재해 및 중대시민재해</t>
        </is>
      </c>
      <c r="H346" s="30" t="n"/>
      <c r="I346" s="30" t="n"/>
      <c r="J346" s="30" t="n"/>
      <c r="K346" s="30" t="n"/>
      <c r="L346" s="30" t="n"/>
      <c r="M346" s="30" t="n"/>
      <c r="N346" s="30" t="n"/>
      <c r="O346" s="30" t="n"/>
      <c r="P346" s="30" t="n"/>
    </row>
    <row r="347" customFormat="1" s="31">
      <c r="A347" s="25" t="n"/>
      <c r="B347" s="125" t="n">
        <v>127</v>
      </c>
      <c r="C347" s="126" t="n">
        <v>1</v>
      </c>
      <c r="D347" s="26" t="n">
        <v>5</v>
      </c>
      <c r="E347" s="27" t="inlineStr">
        <is>
          <t>재해유형</t>
        </is>
      </c>
      <c r="F347" s="28" t="inlineStr">
        <is>
          <t>밀폐공간</t>
        </is>
      </c>
      <c r="G347" s="35" t="inlineStr">
        <is>
          <t>5. 밀폐공간 작업 시 사전 준비 사항</t>
        </is>
      </c>
      <c r="H347" s="30" t="n"/>
      <c r="I347" s="30" t="n"/>
      <c r="J347" s="30" t="n"/>
      <c r="K347" s="30" t="n"/>
      <c r="L347" s="30" t="n"/>
      <c r="M347" s="30" t="n"/>
      <c r="N347" s="30" t="n"/>
      <c r="O347" s="30" t="n"/>
      <c r="P347" s="30" t="n"/>
    </row>
    <row r="348" customFormat="1" s="31">
      <c r="A348" s="25" t="n"/>
      <c r="B348" s="125" t="n">
        <v>127</v>
      </c>
      <c r="C348" s="126" t="n">
        <v>1</v>
      </c>
      <c r="D348" s="26" t="n">
        <v>6</v>
      </c>
      <c r="E348" s="27" t="inlineStr">
        <is>
          <t>재해유형</t>
        </is>
      </c>
      <c r="F348" s="28" t="inlineStr">
        <is>
          <t>지붕 채광창</t>
        </is>
      </c>
      <c r="G348" s="35" t="inlineStr">
        <is>
          <t>6. 지붕 채광창 안전덮개 제작기준</t>
        </is>
      </c>
      <c r="H348" s="30" t="n"/>
      <c r="I348" s="30" t="n"/>
      <c r="J348" s="30" t="n"/>
      <c r="K348" s="30" t="n"/>
      <c r="L348" s="30" t="n"/>
      <c r="M348" s="30" t="n"/>
      <c r="N348" s="30" t="n"/>
      <c r="O348" s="30" t="n"/>
      <c r="P348" s="30" t="n"/>
    </row>
    <row r="349" customFormat="1" s="31">
      <c r="A349" s="25" t="n"/>
      <c r="B349" s="125" t="n">
        <v>127</v>
      </c>
      <c r="C349" s="126" t="n">
        <v>1</v>
      </c>
      <c r="D349" s="26" t="n">
        <v>7</v>
      </c>
      <c r="E349" s="27" t="inlineStr">
        <is>
          <t>가설공사</t>
        </is>
      </c>
      <c r="F349" s="28" t="inlineStr">
        <is>
          <t>달비계</t>
        </is>
      </c>
      <c r="G349" s="35" t="inlineStr">
        <is>
          <t>7. 작업의자형 달비계 작업 시 안전대책</t>
        </is>
      </c>
      <c r="H349" s="30" t="n"/>
      <c r="I349" s="30" t="n"/>
      <c r="J349" s="30" t="n"/>
      <c r="K349" s="30" t="n"/>
      <c r="L349" s="30" t="n"/>
      <c r="M349" s="30" t="n"/>
      <c r="N349" s="31" t="inlineStr">
        <is>
          <t>토공</t>
        </is>
      </c>
      <c r="O349" s="30" t="n"/>
      <c r="P349" s="30" t="n"/>
    </row>
    <row r="350" customFormat="1" s="31">
      <c r="A350" s="25" t="n"/>
      <c r="B350" s="125" t="n">
        <v>127</v>
      </c>
      <c r="C350" s="126" t="n">
        <v>1</v>
      </c>
      <c r="D350" s="26" t="n">
        <v>8</v>
      </c>
      <c r="E350" s="27" t="inlineStr">
        <is>
          <t>산안법</t>
        </is>
      </c>
      <c r="F350" s="28" t="inlineStr">
        <is>
          <t>안전인증</t>
        </is>
      </c>
      <c r="G350" s="35" t="inlineStr">
        <is>
          <t>8. 안전인증대상 기계 및 보호구의 종류</t>
        </is>
      </c>
      <c r="H350" s="30" t="n"/>
      <c r="I350" s="30" t="n"/>
      <c r="J350" s="30" t="n"/>
      <c r="K350" s="30" t="n"/>
      <c r="L350" s="30" t="n"/>
      <c r="M350" s="30" t="n"/>
      <c r="N350" s="31" t="inlineStr">
        <is>
          <t>가설공사</t>
        </is>
      </c>
      <c r="O350" s="30" t="n"/>
      <c r="P350" s="30" t="n"/>
    </row>
    <row r="351" customFormat="1" s="31">
      <c r="A351" s="25" t="n"/>
      <c r="B351" s="125" t="n">
        <v>127</v>
      </c>
      <c r="C351" s="126" t="n">
        <v>1</v>
      </c>
      <c r="D351" s="26" t="n">
        <v>9</v>
      </c>
      <c r="E351" s="27" t="inlineStr">
        <is>
          <t>산안법</t>
        </is>
      </c>
      <c r="F351" s="28" t="inlineStr">
        <is>
          <t>산업재해 보고체계</t>
        </is>
      </c>
      <c r="G351" s="35" t="inlineStr">
        <is>
          <t>9. 산업안전보건법상 산업재해 발생시 보고체계</t>
        </is>
      </c>
      <c r="H351" s="30" t="n"/>
      <c r="I351" s="30" t="n"/>
      <c r="J351" s="30" t="n"/>
      <c r="K351" s="30" t="n"/>
      <c r="L351" s="30" t="n"/>
      <c r="M351" s="30" t="n"/>
      <c r="N351" s="31" t="inlineStr">
        <is>
          <t>강재</t>
        </is>
      </c>
      <c r="O351" s="30" t="n"/>
      <c r="P351" s="30" t="n"/>
    </row>
    <row r="352" customFormat="1" s="31">
      <c r="A352" s="25" t="n"/>
      <c r="B352" s="125" t="n">
        <v>127</v>
      </c>
      <c r="C352" s="126" t="n">
        <v>1</v>
      </c>
      <c r="D352" s="26" t="n">
        <v>10</v>
      </c>
      <c r="E352" s="27" t="inlineStr">
        <is>
          <t>기초</t>
        </is>
      </c>
      <c r="F352" s="28" t="inlineStr">
        <is>
          <t>지반파괴형태</t>
        </is>
      </c>
      <c r="G352" s="35" t="inlineStr">
        <is>
          <t>10. 얕은 기초의 하중-침하 거동 및 지반의 파괴형태</t>
        </is>
      </c>
      <c r="H352" s="30" t="n"/>
      <c r="I352" s="30" t="n"/>
      <c r="J352" s="30" t="n"/>
      <c r="K352" s="30" t="n"/>
      <c r="L352" s="30" t="n"/>
      <c r="M352" s="30" t="n"/>
      <c r="N352" s="31" t="inlineStr">
        <is>
          <t>건설기계</t>
        </is>
      </c>
      <c r="O352" s="30" t="n"/>
      <c r="P352" s="30" t="n"/>
    </row>
    <row r="353" customFormat="1" s="31">
      <c r="A353" s="25" t="n"/>
      <c r="B353" s="125" t="n">
        <v>127</v>
      </c>
      <c r="C353" s="126" t="n">
        <v>1</v>
      </c>
      <c r="D353" s="26" t="n">
        <v>11</v>
      </c>
      <c r="E353" s="27" t="inlineStr">
        <is>
          <t>건설기계</t>
        </is>
      </c>
      <c r="F353" s="28" t="inlineStr">
        <is>
          <t>건설기계안전교육</t>
        </is>
      </c>
      <c r="G353" s="35" t="inlineStr">
        <is>
          <t>11. 건설기계관리법상 건설기계안전교육 대상과 주요내용</t>
        </is>
      </c>
      <c r="H353" s="30" t="n"/>
      <c r="I353" s="30" t="n"/>
      <c r="J353" s="30" t="n"/>
      <c r="K353" s="30" t="n"/>
      <c r="L353" s="30" t="n"/>
      <c r="M353" s="30" t="n"/>
      <c r="N353" s="31" t="inlineStr">
        <is>
          <t>건진법</t>
        </is>
      </c>
      <c r="O353" s="30" t="n"/>
      <c r="P353" s="30" t="n"/>
    </row>
    <row r="354" customFormat="1" s="31">
      <c r="A354" s="25" t="n"/>
      <c r="B354" s="125" t="n">
        <v>127</v>
      </c>
      <c r="C354" s="126" t="n">
        <v>1</v>
      </c>
      <c r="D354" s="26" t="n">
        <v>12</v>
      </c>
      <c r="E354" s="27" t="inlineStr">
        <is>
          <t>콘크리트</t>
        </is>
      </c>
      <c r="F354" s="28" t="inlineStr">
        <is>
          <t>측압</t>
        </is>
      </c>
      <c r="G354" s="35" t="inlineStr">
        <is>
          <t>12. 거푸집 측면에서 작용하는 콘크리트 타설시 측압 결정 방법</t>
        </is>
      </c>
      <c r="H354" s="30" t="n"/>
      <c r="I354" s="30" t="n"/>
      <c r="J354" s="30" t="n"/>
      <c r="K354" s="30" t="n"/>
      <c r="L354" s="30" t="n"/>
      <c r="M354" s="30" t="n"/>
      <c r="N354" s="31" t="inlineStr">
        <is>
          <t>건축</t>
        </is>
      </c>
      <c r="O354" s="30" t="n"/>
      <c r="P354" s="30" t="n"/>
    </row>
    <row r="355" customFormat="1" s="31">
      <c r="A355" s="25" t="n"/>
      <c r="B355" s="125" t="n">
        <v>127</v>
      </c>
      <c r="C355" s="126" t="n">
        <v>1</v>
      </c>
      <c r="D355" s="26" t="n">
        <v>13</v>
      </c>
      <c r="E355" s="27" t="inlineStr">
        <is>
          <t>건설기계</t>
        </is>
      </c>
      <c r="F355" s="28" t="inlineStr">
        <is>
          <t>항타 항발기</t>
        </is>
      </c>
      <c r="G355" s="35" t="inlineStr">
        <is>
          <t>13. 항타. 항발기 사용현장의 사전조사 및 작업계획서 내용</t>
        </is>
      </c>
      <c r="H355" s="30" t="n"/>
      <c r="I355" s="30" t="n"/>
      <c r="J355" s="30" t="n"/>
      <c r="K355" s="30" t="n"/>
      <c r="L355" s="30" t="n"/>
      <c r="M355" s="30" t="n"/>
      <c r="N355" s="31" t="inlineStr">
        <is>
          <t>계절재해</t>
        </is>
      </c>
      <c r="O355" s="30" t="n"/>
      <c r="P355" s="30" t="n"/>
    </row>
    <row r="356" customFormat="1" s="31">
      <c r="A356" s="25" t="n"/>
      <c r="B356" s="125" t="n">
        <v>127</v>
      </c>
      <c r="C356" s="126" t="n">
        <v>2</v>
      </c>
      <c r="D356" s="26" t="n">
        <v>1</v>
      </c>
      <c r="E356" s="27" t="inlineStr">
        <is>
          <t>가설공사</t>
        </is>
      </c>
      <c r="F356" s="28" t="inlineStr">
        <is>
          <t>풍압</t>
        </is>
      </c>
      <c r="G356" s="35" t="inlineStr">
        <is>
          <t>1. 풍압이 가설구조물에 미치는 영향과 안전대책에 대하여 설명하시오</t>
        </is>
      </c>
      <c r="H356" s="30" t="n"/>
      <c r="I356" s="30" t="n"/>
      <c r="J356" s="30" t="n"/>
      <c r="K356" s="30" t="n"/>
      <c r="L356" s="30" t="n"/>
      <c r="M356" s="30" t="n"/>
      <c r="N356" s="31" t="inlineStr">
        <is>
          <t>기초</t>
        </is>
      </c>
      <c r="O356" s="30" t="n"/>
      <c r="P356" s="30" t="n"/>
    </row>
    <row r="357" customFormat="1" s="31">
      <c r="A357" s="25" t="n"/>
      <c r="B357" s="125" t="n">
        <v>127</v>
      </c>
      <c r="C357" s="126" t="n">
        <v>2</v>
      </c>
      <c r="D357" s="26" t="n">
        <v>2</v>
      </c>
      <c r="E357" s="27" t="inlineStr">
        <is>
          <t>계절재해</t>
        </is>
      </c>
      <c r="F357" s="28" t="inlineStr">
        <is>
          <t>미세먼지</t>
        </is>
      </c>
      <c r="G357" s="35" t="inlineStr">
        <is>
          <t>2. 미세먼지가 건설현장에 미치는 영향과 안전대책 그리고 예보등급을 설명하시오</t>
        </is>
      </c>
      <c r="H357" s="30" t="n"/>
      <c r="I357" s="30" t="n"/>
      <c r="J357" s="30" t="n"/>
      <c r="K357" s="30" t="n"/>
      <c r="L357" s="30" t="n"/>
      <c r="M357" s="30" t="n"/>
      <c r="N357" s="31" t="inlineStr">
        <is>
          <t>산안법</t>
        </is>
      </c>
      <c r="O357" s="30" t="n"/>
      <c r="P357" s="30" t="n"/>
    </row>
    <row r="358" customFormat="1" s="31">
      <c r="A358" s="25" t="n"/>
      <c r="B358" s="125" t="n">
        <v>127</v>
      </c>
      <c r="C358" s="126" t="n">
        <v>2</v>
      </c>
      <c r="D358" s="26" t="n">
        <v>3</v>
      </c>
      <c r="E358" s="27" t="inlineStr">
        <is>
          <t>산안법</t>
        </is>
      </c>
      <c r="F358" s="28" t="inlineStr">
        <is>
          <t>안전보건개선계획 수립대상</t>
        </is>
      </c>
      <c r="G358" s="35" t="inlineStr">
        <is>
          <t>3. 안전보건개선계획 수립대상과 진단보고서에 포함될 내용을 설명하시오</t>
        </is>
      </c>
      <c r="H358" s="30" t="n"/>
      <c r="I358" s="30" t="n"/>
      <c r="J358" s="30" t="n"/>
      <c r="K358" s="30" t="n"/>
      <c r="L358" s="30" t="n"/>
      <c r="M358" s="30" t="n"/>
      <c r="N358" s="31" t="inlineStr">
        <is>
          <t>시설물안전법</t>
        </is>
      </c>
      <c r="O358" s="30" t="n"/>
      <c r="P358" s="30" t="n"/>
    </row>
    <row r="359" ht="33" customFormat="1" customHeight="1" s="31">
      <c r="A359" s="25" t="n"/>
      <c r="B359" s="125" t="n">
        <v>127</v>
      </c>
      <c r="C359" s="126" t="n">
        <v>2</v>
      </c>
      <c r="D359" s="26" t="n">
        <v>4</v>
      </c>
      <c r="E359" s="27" t="inlineStr">
        <is>
          <t>안전관리론</t>
        </is>
      </c>
      <c r="F359" s="28" t="inlineStr">
        <is>
          <t>부주의 사고빈발자</t>
        </is>
      </c>
      <c r="G359" s="29" t="inlineStr">
        <is>
          <t>4. 건설현장의 근로자 중에 주의력 있는 근로자와 부주의한 현상을 보이는 근로자가 있다. 부주의한 근로자의 
사고를 예방할수 있는 안전대책에 대하여 설명하시오</t>
        </is>
      </c>
      <c r="H359" s="30" t="n"/>
      <c r="I359" s="30" t="n"/>
      <c r="J359" s="30" t="n"/>
      <c r="K359" s="30" t="n"/>
      <c r="L359" s="30" t="n"/>
      <c r="M359" s="30" t="n"/>
      <c r="N359" s="31" t="inlineStr">
        <is>
          <t>중대재해처벌법</t>
        </is>
      </c>
      <c r="O359" s="30" t="n"/>
      <c r="P359" s="30" t="n"/>
    </row>
    <row r="360" customFormat="1" s="31">
      <c r="A360" s="25" t="n"/>
      <c r="B360" s="125" t="n">
        <v>127</v>
      </c>
      <c r="C360" s="126" t="n">
        <v>2</v>
      </c>
      <c r="D360" s="26" t="n">
        <v>5</v>
      </c>
      <c r="E360" s="27" t="inlineStr">
        <is>
          <t>건설기계</t>
        </is>
      </c>
      <c r="F360" s="28" t="inlineStr">
        <is>
          <t>양중기 방호장치</t>
        </is>
      </c>
      <c r="G360" s="35" t="inlineStr">
        <is>
          <t>5. 양중기의 방호장치 종류 및 방호장치가 정상적으로 유지될 수 있도록 작업시작 전 점검사항에 대하여 설명하시오</t>
        </is>
      </c>
      <c r="H360" s="30" t="n"/>
      <c r="I360" s="30" t="n"/>
      <c r="J360" s="30" t="n"/>
      <c r="K360" s="30" t="n"/>
      <c r="L360" s="30" t="n"/>
      <c r="M360" s="30" t="n"/>
      <c r="N360" s="31" t="inlineStr">
        <is>
          <t>지특법</t>
        </is>
      </c>
      <c r="O360" s="30" t="n"/>
      <c r="P360" s="30" t="n"/>
    </row>
    <row r="361" ht="33" customFormat="1" customHeight="1" s="31">
      <c r="A361" s="25" t="n"/>
      <c r="B361" s="125" t="n">
        <v>127</v>
      </c>
      <c r="C361" s="126" t="n">
        <v>2</v>
      </c>
      <c r="D361" s="26" t="n">
        <v>6</v>
      </c>
      <c r="E361" s="27" t="inlineStr">
        <is>
          <t>시사 이슈 문제</t>
        </is>
      </c>
      <c r="F361" s="28" t="inlineStr">
        <is>
          <t>스마트안전장비</t>
        </is>
      </c>
      <c r="G361" s="29" t="inlineStr">
        <is>
          <t>6. 건설현장의 스마트 건설기술 개념 스마트 안전장비의 종류 및 스마트 안전관제시스템 향후 스마트 기술 적용 분야에 대하여 설명하시오</t>
        </is>
      </c>
      <c r="H361" s="30" t="n"/>
      <c r="I361" s="30" t="n"/>
      <c r="J361" s="30" t="n"/>
      <c r="K361" s="30" t="n"/>
      <c r="L361" s="30" t="n"/>
      <c r="M361" s="30" t="n"/>
      <c r="N361" s="31" t="inlineStr">
        <is>
          <t>안전관리론</t>
        </is>
      </c>
      <c r="O361" s="30" t="n"/>
      <c r="P361" s="30" t="n"/>
    </row>
    <row r="362" customFormat="1" s="31">
      <c r="A362" s="25" t="n"/>
      <c r="B362" s="125" t="n">
        <v>127</v>
      </c>
      <c r="C362" s="126" t="n">
        <v>3</v>
      </c>
      <c r="D362" s="26" t="n">
        <v>1</v>
      </c>
      <c r="E362" s="27" t="inlineStr">
        <is>
          <t>가설공사</t>
        </is>
      </c>
      <c r="F362" s="28" t="inlineStr">
        <is>
          <t>낙하물방지망</t>
        </is>
      </c>
      <c r="G362" s="29" t="inlineStr">
        <is>
          <t>1. 낙하물 방지망의 (1)구조 및 재료 (2)설치기준 (3)관리기준을 설명하시오</t>
        </is>
      </c>
      <c r="H362" s="30" t="n"/>
      <c r="I362" s="30" t="n"/>
      <c r="J362" s="30" t="n"/>
      <c r="K362" s="30" t="n"/>
      <c r="L362" s="30" t="n"/>
      <c r="M362" s="30" t="n"/>
      <c r="N362" s="31" t="inlineStr">
        <is>
          <t>재해유형</t>
        </is>
      </c>
      <c r="O362" s="30" t="n"/>
      <c r="P362" s="30" t="n"/>
    </row>
    <row r="363" customFormat="1" s="31">
      <c r="A363" s="25" t="n"/>
      <c r="B363" s="125" t="n">
        <v>127</v>
      </c>
      <c r="C363" s="126" t="n">
        <v>3</v>
      </c>
      <c r="D363" s="26" t="n">
        <v>2</v>
      </c>
      <c r="E363" s="27" t="inlineStr">
        <is>
          <t>계절재해</t>
        </is>
      </c>
      <c r="F363" s="28" t="inlineStr">
        <is>
          <t>해빙기</t>
        </is>
      </c>
      <c r="G363" s="34" t="inlineStr">
        <is>
          <t>2. 해빙기 건설현장에서 발생할 수 있는 재해 위험요인별 안전대책과 주요 점검사항을 설명하시오</t>
        </is>
      </c>
      <c r="H363" s="30" t="n"/>
      <c r="I363" s="30" t="n"/>
      <c r="J363" s="30" t="n"/>
      <c r="K363" s="30" t="n"/>
      <c r="L363" s="30" t="n"/>
      <c r="M363" s="30" t="n"/>
      <c r="N363" s="31" t="inlineStr">
        <is>
          <t>제방 댐 항만</t>
        </is>
      </c>
      <c r="O363" s="30" t="n"/>
      <c r="P363" s="30" t="n"/>
    </row>
    <row r="364" ht="33" customFormat="1" customHeight="1" s="31">
      <c r="A364" s="25" t="n"/>
      <c r="B364" s="125" t="n">
        <v>127</v>
      </c>
      <c r="C364" s="126" t="n">
        <v>3</v>
      </c>
      <c r="D364" s="26" t="n">
        <v>3</v>
      </c>
      <c r="E364" s="27" t="inlineStr">
        <is>
          <t>재해유형</t>
        </is>
      </c>
      <c r="F364" s="28" t="inlineStr">
        <is>
          <t>화재</t>
        </is>
      </c>
      <c r="G364" s="34" t="inlineStr">
        <is>
          <t>3. 화재발생메커니즘(연소의 3요소)에 대하여 설명하고, 건설현장에서 작업 중 발생할 수 있는 화재 및 폭발발생유형과 예방대책에 대하여 설명하시오</t>
        </is>
      </c>
      <c r="H364" s="30" t="n"/>
      <c r="I364" s="30" t="n"/>
      <c r="J364" s="30" t="n"/>
      <c r="K364" s="30" t="n"/>
      <c r="L364" s="30" t="n"/>
      <c r="M364" s="30" t="n"/>
      <c r="N364" s="31" t="inlineStr">
        <is>
          <t>콘크리트</t>
        </is>
      </c>
      <c r="O364" s="30" t="n"/>
      <c r="P364" s="30" t="n"/>
    </row>
    <row r="365" ht="33" customFormat="1" customHeight="1" s="31">
      <c r="A365" s="25" t="n"/>
      <c r="B365" s="125" t="n">
        <v>127</v>
      </c>
      <c r="C365" s="126" t="n">
        <v>3</v>
      </c>
      <c r="D365" s="26" t="n">
        <v>4</v>
      </c>
      <c r="E365" s="27" t="inlineStr">
        <is>
          <t>산안법</t>
        </is>
      </c>
      <c r="F365" s="28" t="inlineStr">
        <is>
          <t>발주자의 산업재해예방조치</t>
        </is>
      </c>
      <c r="G365" s="34" t="inlineStr">
        <is>
          <t>4. 산업안전보건법에서 정하는 건설공사 발주자의 산업재해 예방조치 의무를 계획단계. 설계단계. 시공단계로 나누고 각 단계별 작성항목과 내용을 설명하시오</t>
        </is>
      </c>
      <c r="H365" s="30" t="n"/>
      <c r="I365" s="30" t="n"/>
      <c r="J365" s="30" t="n"/>
      <c r="K365" s="30" t="n"/>
      <c r="L365" s="30" t="n"/>
      <c r="M365" s="30" t="n"/>
      <c r="N365" s="31" t="inlineStr">
        <is>
          <t>토공</t>
        </is>
      </c>
      <c r="O365" s="30" t="n"/>
      <c r="P365" s="30" t="n"/>
    </row>
    <row r="366" customFormat="1" s="31">
      <c r="A366" s="25" t="n"/>
      <c r="B366" s="125" t="n">
        <v>127</v>
      </c>
      <c r="C366" s="126" t="n">
        <v>3</v>
      </c>
      <c r="D366" s="26" t="n">
        <v>5</v>
      </c>
      <c r="E366" s="27" t="inlineStr">
        <is>
          <t>건설기계</t>
        </is>
      </c>
      <c r="F366" s="28" t="inlineStr">
        <is>
          <t>타워크레인</t>
        </is>
      </c>
      <c r="G366" s="34" t="inlineStr">
        <is>
          <t>5. 타워크레인의 성능 유지관리를 위한 반입 전 안전점검항목과 작업 중 안전점검항목을 설명하시오</t>
        </is>
      </c>
      <c r="H366" s="30" t="n"/>
      <c r="I366" s="30" t="n"/>
      <c r="J366" s="30" t="n"/>
      <c r="K366" s="30" t="n"/>
      <c r="L366" s="30" t="n"/>
      <c r="M366" s="30" t="n"/>
      <c r="N366" s="31" t="inlineStr">
        <is>
          <t>해체공사</t>
        </is>
      </c>
      <c r="O366" s="30" t="n"/>
      <c r="P366" s="30" t="n"/>
    </row>
    <row r="367" ht="33" customFormat="1" customHeight="1" s="31">
      <c r="A367" s="25" t="n"/>
      <c r="B367" s="125" t="n">
        <v>127</v>
      </c>
      <c r="C367" s="126" t="n">
        <v>3</v>
      </c>
      <c r="D367" s="26" t="n">
        <v>6</v>
      </c>
      <c r="E367" s="27" t="inlineStr">
        <is>
          <t>기타</t>
        </is>
      </c>
      <c r="F367" s="28" t="inlineStr">
        <is>
          <t>돌관작업</t>
        </is>
      </c>
      <c r="G367" s="34" t="inlineStr">
        <is>
          <t>6. 건설현장의 돌관작업을 위한 계획 수립시 재해예방을 위한 고려사항과 돌관작업현장의 안전관리방안을 설명하시오</t>
        </is>
      </c>
      <c r="H367" s="30" t="n"/>
      <c r="I367" s="30" t="n"/>
      <c r="J367" s="30" t="n"/>
      <c r="K367" s="30" t="n"/>
      <c r="L367" s="30" t="n"/>
      <c r="M367" s="30" t="n"/>
      <c r="N367" s="31" t="inlineStr">
        <is>
          <t>기타</t>
        </is>
      </c>
      <c r="O367" s="30" t="n"/>
      <c r="P367" s="30" t="n"/>
    </row>
    <row r="368" customFormat="1" s="31">
      <c r="A368" s="25" t="n"/>
      <c r="B368" s="125" t="n">
        <v>127</v>
      </c>
      <c r="C368" s="126" t="n">
        <v>4</v>
      </c>
      <c r="D368" s="26" t="n">
        <v>1</v>
      </c>
      <c r="E368" s="27" t="inlineStr">
        <is>
          <t>시사 이슈 문제</t>
        </is>
      </c>
      <c r="F368" s="28" t="inlineStr">
        <is>
          <t>건설재해와 사회</t>
        </is>
      </c>
      <c r="G368" s="34" t="inlineStr">
        <is>
          <t>1. 건설현장의 재해가 근로자, 기업, 사회에 미치는 영향에 대하여 설명하시오</t>
        </is>
      </c>
      <c r="H368" s="30" t="n"/>
      <c r="I368" s="30" t="n"/>
      <c r="J368" s="30" t="n"/>
      <c r="K368" s="30" t="n"/>
      <c r="L368" s="30" t="n"/>
      <c r="M368" s="30" t="n"/>
      <c r="N368" s="31" t="inlineStr">
        <is>
          <t>교량</t>
        </is>
      </c>
      <c r="O368" s="30" t="n"/>
      <c r="P368" s="30" t="n"/>
    </row>
    <row r="369" customFormat="1" s="31">
      <c r="A369" s="25" t="n"/>
      <c r="B369" s="125" t="n">
        <v>127</v>
      </c>
      <c r="C369" s="126" t="n">
        <v>4</v>
      </c>
      <c r="D369" s="26" t="n">
        <v>2</v>
      </c>
      <c r="E369" s="27" t="inlineStr">
        <is>
          <t>터널</t>
        </is>
      </c>
      <c r="F369" s="28" t="inlineStr">
        <is>
          <t>터널굴착보조공법</t>
        </is>
      </c>
      <c r="G369" s="34" t="inlineStr">
        <is>
          <t>2. 터널굴착 시 터널붕괴사고 예방을 위한 터널막장면의 굴착보조공법에 대하여 설명하시오</t>
        </is>
      </c>
      <c r="H369" s="30" t="n"/>
      <c r="I369" s="30" t="n"/>
      <c r="J369" s="30" t="n"/>
      <c r="K369" s="30" t="n"/>
      <c r="L369" s="30" t="n"/>
      <c r="M369" s="30" t="n"/>
      <c r="N369" s="31" t="inlineStr">
        <is>
          <t>시사 이슈 문제</t>
        </is>
      </c>
      <c r="O369" s="30" t="n"/>
      <c r="P369" s="30" t="n"/>
    </row>
    <row r="370" customFormat="1" s="31">
      <c r="A370" s="25" t="n"/>
      <c r="B370" s="125" t="n">
        <v>127</v>
      </c>
      <c r="C370" s="126" t="n">
        <v>4</v>
      </c>
      <c r="D370" s="26" t="n">
        <v>3</v>
      </c>
      <c r="E370" s="27" t="inlineStr">
        <is>
          <t>가설공사</t>
        </is>
      </c>
      <c r="F370" s="28" t="inlineStr">
        <is>
          <t>시스템동바리</t>
        </is>
      </c>
      <c r="G370" s="34" t="inlineStr">
        <is>
          <t>3. 시스템동바리 조립 시 가새의 역할 및 설치기준, 시공 시 검토해야 할 사항에 대하여 설명하시오</t>
        </is>
      </c>
      <c r="H370" s="30" t="n"/>
      <c r="I370" s="30" t="n"/>
      <c r="J370" s="30" t="n"/>
      <c r="K370" s="30" t="n"/>
      <c r="L370" s="30" t="n"/>
      <c r="M370" s="30" t="n"/>
      <c r="N370" s="31" t="inlineStr">
        <is>
          <t>지진</t>
        </is>
      </c>
      <c r="O370" s="30" t="n"/>
      <c r="P370" s="30" t="n"/>
    </row>
    <row r="371" customFormat="1" s="31">
      <c r="A371" s="25" t="n"/>
      <c r="B371" s="125" t="n">
        <v>127</v>
      </c>
      <c r="C371" s="126" t="n">
        <v>4</v>
      </c>
      <c r="D371" s="26" t="n">
        <v>4</v>
      </c>
      <c r="E371" s="27" t="inlineStr">
        <is>
          <t>가설공사</t>
        </is>
      </c>
      <c r="F371" s="28" t="inlineStr">
        <is>
          <t>수직보호망</t>
        </is>
      </c>
      <c r="G371" s="34" t="inlineStr">
        <is>
          <t>4. 수직보호망의 설치기준, 관리기준, 설치 및 사용 시 안전유의사항에 대하여 설명하시오</t>
        </is>
      </c>
      <c r="H371" s="30" t="n"/>
      <c r="I371" s="30" t="n"/>
      <c r="J371" s="30" t="n"/>
      <c r="K371" s="30" t="n"/>
      <c r="L371" s="30" t="n"/>
      <c r="M371" s="30" t="n"/>
      <c r="N371" s="31" t="inlineStr">
        <is>
          <t>철골</t>
        </is>
      </c>
      <c r="O371" s="30" t="n"/>
      <c r="P371" s="30" t="n"/>
    </row>
    <row r="372" ht="33" customFormat="1" customHeight="1" s="31">
      <c r="A372" s="25" t="n"/>
      <c r="B372" s="125" t="n">
        <v>127</v>
      </c>
      <c r="C372" s="126" t="n">
        <v>4</v>
      </c>
      <c r="D372" s="26" t="n">
        <v>5</v>
      </c>
      <c r="E372" s="27" t="inlineStr">
        <is>
          <t>건설기계</t>
        </is>
      </c>
      <c r="F372" s="28" t="inlineStr">
        <is>
          <t>리프트</t>
        </is>
      </c>
      <c r="G372" s="34" t="inlineStr">
        <is>
          <t>5. 건설작업용 리프트의 조립 해체 작업 및 운행에 따른 위험성 평가 시 사고유형과 안전대책에 대하여 설명하시오</t>
        </is>
      </c>
      <c r="H372" s="30" t="n"/>
      <c r="I372" s="30" t="n"/>
      <c r="J372" s="30" t="n"/>
      <c r="K372" s="30" t="n"/>
      <c r="L372" s="30" t="n"/>
      <c r="M372" s="30" t="n"/>
      <c r="N372" s="31" t="inlineStr">
        <is>
          <t>터널</t>
        </is>
      </c>
      <c r="O372" s="30" t="n"/>
      <c r="P372" s="30" t="n"/>
    </row>
    <row r="373" ht="33" customFormat="1" customHeight="1" s="31">
      <c r="A373" s="25" t="n"/>
      <c r="B373" s="125" t="n">
        <v>127</v>
      </c>
      <c r="C373" s="126" t="n">
        <v>4</v>
      </c>
      <c r="D373" s="26" t="n">
        <v>6</v>
      </c>
      <c r="E373" s="27" t="inlineStr">
        <is>
          <t>건진법</t>
        </is>
      </c>
      <c r="F373" s="28" t="inlineStr">
        <is>
          <t>안전점검</t>
        </is>
      </c>
      <c r="G373" s="34" t="inlineStr">
        <is>
          <t>6. 건설기술진흥법 및 시설물의 안전 및 유지관리에 관한 특별법에서 정의하는 안전점섬의 목적, 종류, 점검시기 및 내용에 대하여 설명하시오</t>
        </is>
      </c>
      <c r="H373" s="30" t="n"/>
      <c r="I373" s="30" t="n"/>
      <c r="J373" s="30" t="n"/>
      <c r="K373" s="30" t="n"/>
      <c r="L373" s="30" t="n"/>
      <c r="M373" s="30" t="n"/>
      <c r="N373" s="30" t="n"/>
      <c r="O373" s="30" t="n"/>
      <c r="P373" s="30" t="n"/>
    </row>
    <row r="374" customFormat="1" s="31">
      <c r="A374" s="32" t="n"/>
      <c r="B374" s="141" t="n">
        <v>126</v>
      </c>
      <c r="C374" s="142" t="n">
        <v>1</v>
      </c>
      <c r="D374" s="36" t="n">
        <v>1</v>
      </c>
      <c r="E374" s="37" t="inlineStr">
        <is>
          <t>기초</t>
        </is>
      </c>
      <c r="F374" s="38" t="inlineStr">
        <is>
          <t>흙막이</t>
        </is>
      </c>
      <c r="G374" s="34" t="inlineStr">
        <is>
          <t>1. 흙막이 지보공을 설치했을 때 정기적으로 점검해야 할 사항</t>
        </is>
      </c>
      <c r="H374" s="30" t="n"/>
      <c r="I374" s="30" t="n"/>
      <c r="J374" s="30" t="n"/>
      <c r="K374" s="30" t="n"/>
      <c r="L374" s="30" t="n"/>
      <c r="M374" s="30" t="n"/>
      <c r="N374" s="30" t="n"/>
      <c r="O374" s="30" t="n"/>
      <c r="P374" s="30" t="n"/>
    </row>
    <row r="375" customFormat="1" s="31">
      <c r="A375" s="32" t="n"/>
      <c r="B375" s="143" t="n">
        <v>126</v>
      </c>
      <c r="C375" s="144" t="n">
        <v>1</v>
      </c>
      <c r="D375" s="39" t="n">
        <v>2</v>
      </c>
      <c r="E375" s="32" t="inlineStr">
        <is>
          <t>기초</t>
        </is>
      </c>
      <c r="F375" s="33" t="inlineStr">
        <is>
          <t>토압</t>
        </is>
      </c>
      <c r="G375" s="34" t="inlineStr">
        <is>
          <t>2. 주동토압, 수동토압, 정지토압</t>
        </is>
      </c>
      <c r="H375" s="30" t="n"/>
      <c r="I375" s="30" t="n"/>
      <c r="J375" s="30" t="n"/>
      <c r="K375" s="30" t="n"/>
      <c r="L375" s="30" t="n"/>
      <c r="M375" s="30" t="n"/>
      <c r="N375" s="30" t="n"/>
      <c r="O375" s="30" t="n"/>
      <c r="P375" s="30" t="n"/>
    </row>
    <row r="376" customFormat="1" s="31">
      <c r="A376" s="32" t="n"/>
      <c r="B376" s="143" t="n">
        <v>126</v>
      </c>
      <c r="C376" s="144" t="n">
        <v>1</v>
      </c>
      <c r="D376" s="39" t="n">
        <v>3</v>
      </c>
      <c r="E376" s="32" t="inlineStr">
        <is>
          <t>콘크리트</t>
        </is>
      </c>
      <c r="F376" s="33" t="inlineStr">
        <is>
          <t>연성파괴 취성파괴</t>
        </is>
      </c>
      <c r="G376" s="34" t="inlineStr">
        <is>
          <t>3. 콘크리트 구조물의 연성파괴와 취성파괴</t>
        </is>
      </c>
      <c r="H376" s="30" t="n"/>
      <c r="I376" s="30" t="n"/>
      <c r="J376" s="30" t="n"/>
      <c r="K376" s="30" t="n"/>
      <c r="L376" s="30" t="n"/>
      <c r="M376" s="30" t="n"/>
      <c r="N376" s="30" t="n"/>
      <c r="O376" s="30" t="n"/>
      <c r="P376" s="30" t="n"/>
    </row>
    <row r="377" customFormat="1" s="31">
      <c r="A377" s="32" t="n"/>
      <c r="B377" s="143" t="n">
        <v>126</v>
      </c>
      <c r="C377" s="144" t="n">
        <v>1</v>
      </c>
      <c r="D377" s="39" t="n">
        <v>4</v>
      </c>
      <c r="E377" s="32" t="inlineStr">
        <is>
          <t>안전관리론</t>
        </is>
      </c>
      <c r="F377" s="33" t="inlineStr">
        <is>
          <t>안전심리학</t>
        </is>
      </c>
      <c r="G377" s="34" t="inlineStr">
        <is>
          <t>4. 산업안전심리학에서 인간, 환경, 조직특성에 따른 사고요인</t>
        </is>
      </c>
      <c r="H377" s="30" t="n"/>
      <c r="I377" s="30" t="n"/>
      <c r="J377" s="30" t="n"/>
      <c r="K377" s="30" t="n"/>
      <c r="L377" s="30" t="n"/>
      <c r="M377" s="30" t="n"/>
      <c r="N377" s="30" t="n"/>
      <c r="O377" s="30" t="n"/>
      <c r="P377" s="30" t="n"/>
    </row>
    <row r="378" customFormat="1" s="31">
      <c r="A378" s="32" t="n"/>
      <c r="B378" s="143" t="n">
        <v>126</v>
      </c>
      <c r="C378" s="144" t="n">
        <v>1</v>
      </c>
      <c r="D378" s="39" t="n">
        <v>5</v>
      </c>
      <c r="E378" s="32" t="inlineStr">
        <is>
          <t>안전관리론</t>
        </is>
      </c>
      <c r="F378" s="33" t="inlineStr">
        <is>
          <t>안전관리이론_하인리히 버드</t>
        </is>
      </c>
      <c r="G378" s="34" t="inlineStr">
        <is>
          <t>5. 하인리히와 버드의 사고 연쇄성 이론 5단계와 재해발생비율</t>
        </is>
      </c>
      <c r="H378" s="30" t="n"/>
      <c r="I378" s="30" t="n"/>
      <c r="J378" s="30" t="n"/>
      <c r="K378" s="30" t="n"/>
      <c r="L378" s="30" t="n"/>
      <c r="M378" s="30" t="n"/>
      <c r="N378" s="30" t="n"/>
      <c r="O378" s="30" t="n"/>
      <c r="P378" s="30" t="n"/>
    </row>
    <row r="379" customFormat="1" s="31">
      <c r="A379" s="32" t="n"/>
      <c r="B379" s="143" t="n">
        <v>126</v>
      </c>
      <c r="C379" s="144" t="n">
        <v>1</v>
      </c>
      <c r="D379" s="39" t="n">
        <v>6</v>
      </c>
      <c r="E379" s="32" t="inlineStr">
        <is>
          <t>건설기계</t>
        </is>
      </c>
      <c r="F379" s="33" t="inlineStr">
        <is>
          <t>타워크레인</t>
        </is>
      </c>
      <c r="G379" s="34" t="inlineStr">
        <is>
          <t>6. 타워크레인을 자립고이상의 높이로 설치할 경우 지지 방법과 준수사항</t>
        </is>
      </c>
      <c r="H379" s="30" t="n"/>
      <c r="I379" s="30" t="n"/>
      <c r="J379" s="30" t="n"/>
      <c r="K379" s="30" t="n"/>
      <c r="L379" s="30" t="n"/>
      <c r="M379" s="30" t="n"/>
      <c r="N379" s="30" t="n"/>
      <c r="O379" s="30" t="n"/>
      <c r="P379" s="30" t="n"/>
    </row>
    <row r="380" customFormat="1" s="31">
      <c r="A380" s="32" t="n"/>
      <c r="B380" s="143" t="n">
        <v>126</v>
      </c>
      <c r="C380" s="144" t="n">
        <v>1</v>
      </c>
      <c r="D380" s="39" t="n">
        <v>7</v>
      </c>
      <c r="E380" s="32" t="inlineStr">
        <is>
          <t>기초</t>
        </is>
      </c>
      <c r="F380" s="33" t="inlineStr">
        <is>
          <t>굴착공사</t>
        </is>
      </c>
      <c r="G380" s="34" t="inlineStr">
        <is>
          <t>7. 지반 등을 굴착하는 경우 굴착면의 기울기</t>
        </is>
      </c>
      <c r="H380" s="30" t="n"/>
      <c r="I380" s="30" t="n"/>
      <c r="J380" s="30" t="n"/>
      <c r="K380" s="30" t="n"/>
      <c r="L380" s="30" t="n"/>
      <c r="M380" s="30" t="n"/>
      <c r="N380" s="30" t="n"/>
      <c r="O380" s="30" t="n"/>
      <c r="P380" s="30" t="n"/>
    </row>
    <row r="381" customFormat="1" s="31">
      <c r="A381" s="32" t="n"/>
      <c r="B381" s="143" t="n">
        <v>126</v>
      </c>
      <c r="C381" s="144" t="n">
        <v>1</v>
      </c>
      <c r="D381" s="39" t="n">
        <v>8</v>
      </c>
      <c r="E381" s="32" t="inlineStr">
        <is>
          <t>콘크리트</t>
        </is>
      </c>
      <c r="F381" s="33" t="inlineStr">
        <is>
          <t>양생</t>
        </is>
      </c>
      <c r="G381" s="34" t="inlineStr">
        <is>
          <t>8. 콘크리트 온도제어 양생</t>
        </is>
      </c>
      <c r="H381" s="30" t="n"/>
      <c r="I381" s="30" t="n"/>
      <c r="J381" s="30" t="n"/>
      <c r="K381" s="30" t="n"/>
      <c r="L381" s="30" t="n"/>
      <c r="M381" s="30" t="n"/>
      <c r="N381" s="30" t="n"/>
      <c r="O381" s="30" t="n"/>
      <c r="P381" s="30" t="n"/>
    </row>
    <row r="382" customFormat="1" s="31">
      <c r="A382" s="32" t="n"/>
      <c r="B382" s="143" t="n">
        <v>126</v>
      </c>
      <c r="C382" s="144" t="n">
        <v>1</v>
      </c>
      <c r="D382" s="39" t="n">
        <v>9</v>
      </c>
      <c r="E382" s="32" t="inlineStr">
        <is>
          <t>터널</t>
        </is>
      </c>
      <c r="F382" s="33" t="inlineStr">
        <is>
          <t>제어발파</t>
        </is>
      </c>
      <c r="G382" s="34" t="inlineStr">
        <is>
          <t>9. 터널 제어발파</t>
        </is>
      </c>
      <c r="H382" s="30" t="n"/>
      <c r="I382" s="30" t="n"/>
      <c r="J382" s="30" t="n"/>
      <c r="K382" s="30" t="n"/>
      <c r="L382" s="30" t="n"/>
      <c r="M382" s="30" t="n"/>
      <c r="N382" s="30" t="n"/>
      <c r="O382" s="30" t="n"/>
      <c r="P382" s="30" t="n"/>
    </row>
    <row r="383" customFormat="1" s="31">
      <c r="A383" s="32" t="n"/>
      <c r="B383" s="143" t="n">
        <v>126</v>
      </c>
      <c r="C383" s="144" t="n">
        <v>1</v>
      </c>
      <c r="D383" s="39" t="n">
        <v>10</v>
      </c>
      <c r="E383" s="32" t="inlineStr">
        <is>
          <t>기초</t>
        </is>
      </c>
      <c r="F383" s="33" t="inlineStr">
        <is>
          <t>언더피닝</t>
        </is>
      </c>
      <c r="G383" s="34" t="inlineStr">
        <is>
          <t>10. 언더피닝(Under pinning)공법의 종류별 특성</t>
        </is>
      </c>
      <c r="H383" s="30" t="n"/>
      <c r="I383" s="30" t="n"/>
      <c r="J383" s="30" t="n"/>
      <c r="K383" s="30" t="n"/>
      <c r="L383" s="30" t="n"/>
      <c r="M383" s="30" t="n"/>
      <c r="N383" s="30" t="n"/>
      <c r="O383" s="30" t="n"/>
      <c r="P383" s="30" t="n"/>
    </row>
    <row r="384" customFormat="1" s="31">
      <c r="A384" s="32" t="n"/>
      <c r="B384" s="143" t="n">
        <v>126</v>
      </c>
      <c r="C384" s="144" t="n">
        <v>1</v>
      </c>
      <c r="D384" s="39" t="n">
        <v>11</v>
      </c>
      <c r="E384" s="32" t="inlineStr">
        <is>
          <t>시설물안전법</t>
        </is>
      </c>
      <c r="F384" s="33" t="inlineStr">
        <is>
          <t>안전진단</t>
        </is>
      </c>
      <c r="G384" s="34" t="inlineStr">
        <is>
          <t>11. 시설물의 안전진단을 실시해야 하는 중대한 결함</t>
        </is>
      </c>
      <c r="H384" s="30" t="n"/>
      <c r="I384" s="30" t="n"/>
      <c r="J384" s="30" t="n"/>
      <c r="K384" s="30" t="n"/>
      <c r="L384" s="30" t="n"/>
      <c r="M384" s="30" t="n"/>
      <c r="N384" s="30" t="n"/>
      <c r="O384" s="30" t="n"/>
      <c r="P384" s="30" t="n"/>
    </row>
    <row r="385" customFormat="1" s="31">
      <c r="A385" s="32" t="n"/>
      <c r="B385" s="143" t="n">
        <v>126</v>
      </c>
      <c r="C385" s="144" t="n">
        <v>1</v>
      </c>
      <c r="D385" s="39" t="n">
        <v>12</v>
      </c>
      <c r="E385" s="32" t="inlineStr">
        <is>
          <t>가설공사</t>
        </is>
      </c>
      <c r="F385" s="33" t="inlineStr">
        <is>
          <t>가설경사로</t>
        </is>
      </c>
      <c r="G385" s="34" t="inlineStr">
        <is>
          <t>12. 가설경사로 설치 기준</t>
        </is>
      </c>
      <c r="H385" s="30" t="n"/>
      <c r="I385" s="30" t="n"/>
      <c r="J385" s="30" t="n"/>
      <c r="K385" s="30" t="n"/>
      <c r="L385" s="30" t="n"/>
      <c r="M385" s="30" t="n"/>
      <c r="N385" s="30" t="n"/>
      <c r="O385" s="30" t="n"/>
      <c r="P385" s="30" t="n"/>
    </row>
    <row r="386" customFormat="1" s="31">
      <c r="A386" s="32" t="n"/>
      <c r="B386" s="143" t="n">
        <v>126</v>
      </c>
      <c r="C386" s="144" t="n">
        <v>1</v>
      </c>
      <c r="D386" s="39" t="n">
        <v>13</v>
      </c>
      <c r="E386" s="32" t="inlineStr">
        <is>
          <t>토공</t>
        </is>
      </c>
      <c r="F386" s="33" t="inlineStr">
        <is>
          <t>암반파쇄대</t>
        </is>
      </c>
      <c r="G386" s="34" t="inlineStr">
        <is>
          <t>13. 암반의 파쇄대(Fracture Zone)</t>
        </is>
      </c>
      <c r="H386" s="30" t="n"/>
      <c r="I386" s="30" t="n"/>
      <c r="J386" s="30" t="n"/>
      <c r="K386" s="30" t="n"/>
      <c r="L386" s="30" t="n"/>
      <c r="M386" s="30" t="n"/>
      <c r="N386" s="30" t="n"/>
      <c r="O386" s="30" t="n"/>
      <c r="P386" s="30" t="n"/>
    </row>
    <row r="387" ht="33" customFormat="1" customHeight="1" s="31">
      <c r="A387" s="32" t="n"/>
      <c r="B387" s="143" t="n">
        <v>126</v>
      </c>
      <c r="C387" s="144" t="n">
        <v>2</v>
      </c>
      <c r="D387" s="39" t="n">
        <v>1</v>
      </c>
      <c r="E387" s="32" t="inlineStr">
        <is>
          <t>건설기계</t>
        </is>
      </c>
      <c r="F387" s="33" t="inlineStr">
        <is>
          <t>펌프카</t>
        </is>
      </c>
      <c r="G387" s="34" t="inlineStr">
        <is>
          <t>1. 펌프카를 이용한 콘크리트 타설 시 안전작업 절차와 타설 작업 중 발생할 수 있는 재해유형과 안전대책에 대하여 설명하시오</t>
        </is>
      </c>
      <c r="H387" s="30" t="n"/>
      <c r="I387" s="30" t="n"/>
      <c r="J387" s="30" t="n"/>
      <c r="K387" s="30" t="n"/>
      <c r="L387" s="30" t="n"/>
      <c r="M387" s="30" t="n"/>
      <c r="N387" s="30" t="n"/>
      <c r="O387" s="30" t="n"/>
      <c r="P387" s="30" t="n"/>
    </row>
    <row r="388" customFormat="1" s="31">
      <c r="A388" s="32" t="n"/>
      <c r="B388" s="143" t="n">
        <v>126</v>
      </c>
      <c r="C388" s="144" t="n">
        <v>2</v>
      </c>
      <c r="D388" s="39" t="n">
        <v>2</v>
      </c>
      <c r="E388" s="32" t="inlineStr">
        <is>
          <t>안전관리론</t>
        </is>
      </c>
      <c r="F388" s="33" t="inlineStr">
        <is>
          <t>재해조사 및 통계</t>
        </is>
      </c>
      <c r="G388" s="34" t="inlineStr">
        <is>
          <t>2. 재해조사시 단계별 조사내용과 유의사항을 설명하시오</t>
        </is>
      </c>
      <c r="H388" s="30" t="n"/>
      <c r="I388" s="30" t="n"/>
      <c r="J388" s="30" t="n"/>
      <c r="K388" s="30" t="n"/>
      <c r="L388" s="30" t="n"/>
      <c r="M388" s="30" t="n"/>
      <c r="N388" s="30" t="n"/>
      <c r="O388" s="30" t="n"/>
      <c r="P388" s="30" t="n"/>
    </row>
    <row r="389" customFormat="1" s="31">
      <c r="A389" s="32" t="n"/>
      <c r="B389" s="143" t="n">
        <v>126</v>
      </c>
      <c r="C389" s="144" t="n">
        <v>2</v>
      </c>
      <c r="D389" s="39" t="n">
        <v>3</v>
      </c>
      <c r="E389" s="32" t="inlineStr">
        <is>
          <t>가설공사</t>
        </is>
      </c>
      <c r="F389" s="33" t="inlineStr">
        <is>
          <t>낙하물방지망</t>
        </is>
      </c>
      <c r="G389" s="34" t="inlineStr">
        <is>
          <t>3. 낙하물방지망의 정의, 설치방법, 설치시 주의사항, 설치 해체시 추락 방지대책에 대하여 설명하시오</t>
        </is>
      </c>
      <c r="H389" s="30" t="n"/>
      <c r="I389" s="30" t="n"/>
      <c r="J389" s="30" t="n"/>
      <c r="K389" s="30" t="n"/>
      <c r="L389" s="30" t="n"/>
      <c r="M389" s="30" t="n"/>
      <c r="N389" s="30" t="n"/>
      <c r="O389" s="30" t="n"/>
      <c r="P389" s="30" t="n"/>
    </row>
    <row r="390" customFormat="1" s="31">
      <c r="A390" s="32" t="n"/>
      <c r="B390" s="143" t="n">
        <v>126</v>
      </c>
      <c r="C390" s="144" t="n">
        <v>2</v>
      </c>
      <c r="D390" s="39" t="n">
        <v>4</v>
      </c>
      <c r="E390" s="32" t="inlineStr">
        <is>
          <t>콘크리트</t>
        </is>
      </c>
      <c r="F390" s="33" t="inlineStr">
        <is>
          <t>한중콘크리트</t>
        </is>
      </c>
      <c r="G390" s="34" t="inlineStr">
        <is>
          <t>4. 한중콘크리트 시공 시 문제점과 안전관리대책에 대하여 설명하시오</t>
        </is>
      </c>
      <c r="H390" s="30" t="n"/>
      <c r="I390" s="30" t="n"/>
      <c r="J390" s="30" t="n"/>
      <c r="K390" s="30" t="n"/>
      <c r="L390" s="30" t="n"/>
      <c r="M390" s="30" t="n"/>
      <c r="N390" s="30" t="n"/>
      <c r="O390" s="30" t="n"/>
      <c r="P390" s="30" t="n"/>
    </row>
    <row r="391" customFormat="1" s="31">
      <c r="A391" s="32" t="n"/>
      <c r="B391" s="143" t="n">
        <v>126</v>
      </c>
      <c r="C391" s="144" t="n">
        <v>2</v>
      </c>
      <c r="D391" s="39" t="n">
        <v>5</v>
      </c>
      <c r="E391" s="32" t="inlineStr">
        <is>
          <t>산안법</t>
        </is>
      </c>
      <c r="F391" s="33" t="inlineStr">
        <is>
          <t>위험성 평가</t>
        </is>
      </c>
      <c r="G391" s="34" t="inlineStr">
        <is>
          <t>5. 위험성평가의 정의 단계별 절차를 설명하시오</t>
        </is>
      </c>
      <c r="H391" s="30" t="n"/>
      <c r="I391" s="30" t="n"/>
      <c r="J391" s="30" t="n"/>
      <c r="K391" s="30" t="n"/>
      <c r="L391" s="30" t="n"/>
      <c r="M391" s="30" t="n"/>
      <c r="N391" s="30" t="n"/>
      <c r="O391" s="30" t="n"/>
      <c r="P391" s="30" t="n"/>
    </row>
    <row r="392" customFormat="1" s="31">
      <c r="A392" s="32" t="n"/>
      <c r="B392" s="143" t="n">
        <v>126</v>
      </c>
      <c r="C392" s="144" t="n">
        <v>2</v>
      </c>
      <c r="D392" s="39" t="n">
        <v>6</v>
      </c>
      <c r="E392" s="32" t="inlineStr">
        <is>
          <t>콘크리트</t>
        </is>
      </c>
      <c r="F392" s="33" t="inlineStr">
        <is>
          <t>균열과 열화</t>
        </is>
      </c>
      <c r="G392" s="34" t="inlineStr">
        <is>
          <t>6. 콘크리트 타설 후 체적변화에 의한 균열의 종류와 관리방안을 설명하시오</t>
        </is>
      </c>
      <c r="H392" s="30" t="n"/>
      <c r="I392" s="30" t="n"/>
      <c r="J392" s="30" t="n"/>
      <c r="K392" s="30" t="n"/>
      <c r="L392" s="30" t="n"/>
      <c r="M392" s="30" t="n"/>
      <c r="N392" s="30" t="n"/>
      <c r="O392" s="30" t="n"/>
      <c r="P392" s="30" t="n"/>
    </row>
    <row r="393" ht="33" customFormat="1" customHeight="1" s="31">
      <c r="A393" s="32" t="n"/>
      <c r="B393" s="143" t="n">
        <v>126</v>
      </c>
      <c r="C393" s="144" t="n">
        <v>3</v>
      </c>
      <c r="D393" s="39" t="n">
        <v>1</v>
      </c>
      <c r="E393" s="32" t="inlineStr">
        <is>
          <t>산안법</t>
        </is>
      </c>
      <c r="F393" s="33" t="inlineStr">
        <is>
          <t>유해위험방지계획서</t>
        </is>
      </c>
      <c r="G393" s="34" t="inlineStr">
        <is>
          <t>1. 산업안전보건법령상 유해위험방지계획서 제출대상 및 작성내용을 설명하시오(단, 제출대상은 대통령으로 정하는 크기, 높이 등에 해당하는 건설공사)</t>
        </is>
      </c>
      <c r="H393" s="30" t="n"/>
      <c r="I393" s="30" t="n"/>
      <c r="J393" s="30" t="n"/>
      <c r="K393" s="30" t="n"/>
      <c r="L393" s="30" t="n"/>
      <c r="M393" s="30" t="n"/>
      <c r="N393" s="30" t="n"/>
      <c r="O393" s="30" t="n"/>
      <c r="P393" s="30" t="n"/>
    </row>
    <row r="394" customFormat="1" s="31">
      <c r="A394" s="32" t="n"/>
      <c r="B394" s="143" t="n">
        <v>126</v>
      </c>
      <c r="C394" s="144" t="n">
        <v>3</v>
      </c>
      <c r="D394" s="39" t="n">
        <v>2</v>
      </c>
      <c r="E394" s="32" t="inlineStr">
        <is>
          <t>계절재해</t>
        </is>
      </c>
      <c r="F394" s="33" t="inlineStr">
        <is>
          <t>악천후, 우기, 태풍</t>
        </is>
      </c>
      <c r="G394" s="34" t="inlineStr">
        <is>
          <t>2. 악천후로 인한 건설현장의 위험요인과 안전대책에 대하여 설명하시오</t>
        </is>
      </c>
      <c r="H394" s="30" t="n"/>
      <c r="I394" s="30" t="n"/>
      <c r="J394" s="30" t="n"/>
      <c r="K394" s="30" t="n"/>
      <c r="L394" s="30" t="n"/>
      <c r="M394" s="30" t="n"/>
      <c r="N394" s="30" t="n"/>
      <c r="O394" s="30" t="n"/>
      <c r="P394" s="30" t="n"/>
    </row>
    <row r="395" customFormat="1" s="31">
      <c r="A395" s="32" t="n"/>
      <c r="B395" s="143" t="n">
        <v>126</v>
      </c>
      <c r="C395" s="144" t="n">
        <v>3</v>
      </c>
      <c r="D395" s="39" t="n">
        <v>3</v>
      </c>
      <c r="E395" s="32" t="inlineStr">
        <is>
          <t>가설공사</t>
        </is>
      </c>
      <c r="F395" s="33" t="inlineStr">
        <is>
          <t>시스템 동바리</t>
        </is>
      </c>
      <c r="G395" s="34" t="inlineStr">
        <is>
          <t>3. 시스템동바리의 구조적 특징과 붕괴발생원인 및 방지대책을 설명하시오</t>
        </is>
      </c>
      <c r="H395" s="30" t="n"/>
      <c r="I395" s="30" t="n"/>
      <c r="J395" s="30" t="n"/>
      <c r="K395" s="30" t="n"/>
      <c r="L395" s="30" t="n"/>
      <c r="M395" s="30" t="n"/>
      <c r="N395" s="30" t="n"/>
      <c r="O395" s="30" t="n"/>
      <c r="P395" s="30" t="n"/>
    </row>
    <row r="396" ht="33" customFormat="1" customHeight="1" s="31">
      <c r="A396" s="32" t="n"/>
      <c r="B396" s="143" t="n">
        <v>126</v>
      </c>
      <c r="C396" s="144" t="n">
        <v>3</v>
      </c>
      <c r="D396" s="39" t="n">
        <v>4</v>
      </c>
      <c r="E396" s="32" t="inlineStr">
        <is>
          <t>중대재해처벌법</t>
        </is>
      </c>
      <c r="F396" s="33" t="inlineStr">
        <is>
          <t>중대재해</t>
        </is>
      </c>
      <c r="G396" s="34" t="inlineStr">
        <is>
          <t>4. 중대재해처벌법상 중대재해의 정의 , 의무주체, 보호대상, 적용범위, 의무내용, 처벌수준에 대하여 설명하시오</t>
        </is>
      </c>
      <c r="H396" s="30" t="n"/>
      <c r="I396" s="30" t="n"/>
      <c r="J396" s="30" t="n"/>
      <c r="K396" s="30" t="n"/>
      <c r="L396" s="30" t="n"/>
      <c r="M396" s="30" t="n"/>
      <c r="N396" s="30" t="n"/>
      <c r="O396" s="30" t="n"/>
      <c r="P396" s="30" t="n"/>
    </row>
    <row r="397" customFormat="1" s="31">
      <c r="A397" s="32" t="n"/>
      <c r="B397" s="143" t="n">
        <v>126</v>
      </c>
      <c r="C397" s="144" t="n">
        <v>3</v>
      </c>
      <c r="D397" s="39" t="n">
        <v>5</v>
      </c>
      <c r="E397" s="32" t="inlineStr">
        <is>
          <t>콘크리트</t>
        </is>
      </c>
      <c r="F397" s="33" t="inlineStr">
        <is>
          <t>균열과 열화</t>
        </is>
      </c>
      <c r="G397" s="34" t="inlineStr">
        <is>
          <t>5. 콘크리트 내구성 저하 원인과 방지대책에 대하여 설명하시오</t>
        </is>
      </c>
      <c r="H397" s="30" t="n"/>
      <c r="I397" s="30" t="n"/>
      <c r="J397" s="30" t="n"/>
      <c r="K397" s="30" t="n"/>
      <c r="L397" s="30" t="n"/>
      <c r="M397" s="30" t="n"/>
      <c r="N397" s="30" t="n"/>
      <c r="O397" s="30" t="n"/>
      <c r="P397" s="30" t="n"/>
    </row>
    <row r="398" customFormat="1" s="31">
      <c r="A398" s="32" t="n"/>
      <c r="B398" s="143" t="n">
        <v>126</v>
      </c>
      <c r="C398" s="144" t="n">
        <v>3</v>
      </c>
      <c r="D398" s="39" t="n">
        <v>6</v>
      </c>
      <c r="E398" s="32" t="inlineStr">
        <is>
          <t>기초</t>
        </is>
      </c>
      <c r="F398" s="33" t="inlineStr">
        <is>
          <t>보강토옹벽</t>
        </is>
      </c>
      <c r="G398" s="34" t="inlineStr">
        <is>
          <t>6. 보강토옹벽의 파괴유형과 파괴 방지대책에 대하여 설명하시오</t>
        </is>
      </c>
      <c r="H398" s="30" t="n"/>
      <c r="I398" s="30" t="n"/>
      <c r="J398" s="30" t="n"/>
      <c r="K398" s="30" t="n"/>
      <c r="L398" s="30" t="n"/>
      <c r="M398" s="30" t="n"/>
      <c r="N398" s="30" t="n"/>
      <c r="O398" s="30" t="n"/>
      <c r="P398" s="30" t="n"/>
    </row>
    <row r="399" customFormat="1" s="31">
      <c r="A399" s="32" t="n"/>
      <c r="B399" s="143" t="n">
        <v>126</v>
      </c>
      <c r="C399" s="144" t="n">
        <v>4</v>
      </c>
      <c r="D399" s="39" t="n">
        <v>1</v>
      </c>
      <c r="E399" s="32" t="inlineStr">
        <is>
          <t>재해유형</t>
        </is>
      </c>
      <c r="F399" s="33" t="inlineStr">
        <is>
          <t>전기재해</t>
        </is>
      </c>
      <c r="G399" s="34" t="inlineStr">
        <is>
          <t>1. 건설현장에서 가설전기 사용에 의한 전기감전 재해의 발생원인과 예방대책에 대하여 설명하시오</t>
        </is>
      </c>
      <c r="H399" s="30" t="n"/>
      <c r="I399" s="30" t="n"/>
      <c r="J399" s="30" t="n"/>
      <c r="K399" s="30" t="n"/>
      <c r="L399" s="30" t="n"/>
      <c r="M399" s="30" t="n"/>
      <c r="N399" s="30" t="n"/>
      <c r="O399" s="30" t="n"/>
      <c r="P399" s="30" t="n"/>
    </row>
    <row r="400" ht="33" customFormat="1" customHeight="1" s="31">
      <c r="A400" s="32" t="n"/>
      <c r="B400" s="143" t="n">
        <v>126</v>
      </c>
      <c r="C400" s="144" t="n">
        <v>4</v>
      </c>
      <c r="D400" s="39" t="n">
        <v>2</v>
      </c>
      <c r="E400" s="32" t="inlineStr">
        <is>
          <t>산안법</t>
        </is>
      </c>
      <c r="F400" s="33" t="inlineStr">
        <is>
          <t>이사회 보고 승인</t>
        </is>
      </c>
      <c r="G400" s="34" t="inlineStr">
        <is>
          <t>2. 산업안전보건법상 안전보건관리체계에 대한 이사회 보고 승인 대상 회사와 안전 및 보건에 관한 계획수립 내용에 대하여 설명하시오</t>
        </is>
      </c>
      <c r="H400" s="30" t="n"/>
      <c r="I400" s="30" t="n"/>
      <c r="J400" s="30" t="n"/>
      <c r="K400" s="30" t="n"/>
      <c r="L400" s="30" t="n"/>
      <c r="M400" s="30" t="n"/>
      <c r="N400" s="30" t="n"/>
      <c r="O400" s="30" t="n"/>
      <c r="P400" s="30" t="n"/>
    </row>
    <row r="401" ht="33" customFormat="1" customHeight="1" s="31">
      <c r="A401" s="32" t="n"/>
      <c r="B401" s="143" t="n">
        <v>126</v>
      </c>
      <c r="C401" s="144" t="n">
        <v>4</v>
      </c>
      <c r="D401" s="39" t="n">
        <v>3</v>
      </c>
      <c r="E401" s="32" t="inlineStr">
        <is>
          <t>지특법</t>
        </is>
      </c>
      <c r="F401" s="33" t="inlineStr">
        <is>
          <t>지하안전평가</t>
        </is>
      </c>
      <c r="G401" s="34" t="inlineStr">
        <is>
          <t>3. 지하인전관리에 관한 특별법 시행규칙상 지하시설물관리자가 안전점검을 실시하려야 하는 지하시설물의 종류를 기술하고, 안전점검의 실시시기 및 방법과 안전점검 결과에 포함되어야 할 내용에 다하여 설명하시오</t>
        </is>
      </c>
      <c r="H401" s="30" t="n"/>
      <c r="I401" s="30" t="n"/>
      <c r="J401" s="30" t="n"/>
      <c r="K401" s="30" t="n"/>
      <c r="L401" s="30" t="n"/>
      <c r="M401" s="30" t="n"/>
      <c r="N401" s="30" t="n"/>
      <c r="O401" s="30" t="n"/>
      <c r="P401" s="30" t="n"/>
    </row>
    <row r="402" customFormat="1" s="31">
      <c r="A402" s="32" t="n"/>
      <c r="B402" s="143" t="n">
        <v>126</v>
      </c>
      <c r="C402" s="144" t="n">
        <v>4</v>
      </c>
      <c r="D402" s="39" t="n">
        <v>4</v>
      </c>
      <c r="E402" s="32" t="inlineStr">
        <is>
          <t>해체공사</t>
        </is>
      </c>
      <c r="F402" s="33" t="n"/>
      <c r="G402" s="34" t="inlineStr">
        <is>
          <t>4. 노후화된 구조물 해체공사 시 사전조사항목과 안전대책에 대하여 설명하시오</t>
        </is>
      </c>
      <c r="H402" s="30" t="n"/>
      <c r="I402" s="30" t="n"/>
      <c r="J402" s="30" t="n"/>
      <c r="K402" s="30" t="n"/>
      <c r="L402" s="30" t="n"/>
      <c r="M402" s="30" t="n"/>
      <c r="N402" s="30" t="n"/>
      <c r="O402" s="30" t="n"/>
      <c r="P402" s="30" t="n"/>
    </row>
    <row r="403" customFormat="1" s="31">
      <c r="A403" s="32" t="n"/>
      <c r="B403" s="143" t="n">
        <v>126</v>
      </c>
      <c r="C403" s="144" t="n">
        <v>4</v>
      </c>
      <c r="D403" s="39" t="n">
        <v>5</v>
      </c>
      <c r="E403" s="32" t="inlineStr">
        <is>
          <t>재해유형</t>
        </is>
      </c>
      <c r="F403" s="33" t="inlineStr">
        <is>
          <t>전기용접</t>
        </is>
      </c>
      <c r="G403" s="34" t="inlineStr">
        <is>
          <t>5. 건설현장에서 전기용접 작업시 재해유형과 안전대책에 대하여 설명하시오</t>
        </is>
      </c>
      <c r="H403" s="30" t="n"/>
      <c r="I403" s="30" t="n"/>
      <c r="J403" s="30" t="n"/>
      <c r="K403" s="30" t="n"/>
      <c r="L403" s="30" t="n"/>
      <c r="M403" s="30" t="n"/>
      <c r="N403" s="30" t="n"/>
      <c r="O403" s="30" t="n"/>
      <c r="P403" s="30" t="n"/>
    </row>
    <row r="404" ht="33" customFormat="1" customHeight="1" s="31">
      <c r="A404" s="32" t="n"/>
      <c r="B404" s="143" t="n">
        <v>126</v>
      </c>
      <c r="C404" s="144" t="n">
        <v>4</v>
      </c>
      <c r="D404" s="39" t="n">
        <v>6</v>
      </c>
      <c r="E404" s="32" t="inlineStr">
        <is>
          <t>터널</t>
        </is>
      </c>
      <c r="F404" s="33" t="inlineStr">
        <is>
          <t>사전조사 및 작업계획서</t>
        </is>
      </c>
      <c r="G404" s="34" t="inlineStr">
        <is>
          <t>6. 터널 굴착공법의 사전조사 사항 및 굴착공법의 종류를 설명하고, 터널시공 유형과 안전관리 대책에 대하여 설명하시오</t>
        </is>
      </c>
      <c r="H404" s="30" t="n"/>
      <c r="I404" s="30" t="n"/>
      <c r="J404" s="30" t="n"/>
      <c r="K404" s="30" t="n"/>
      <c r="L404" s="30" t="n"/>
      <c r="M404" s="30" t="n"/>
      <c r="N404" s="30" t="n"/>
      <c r="O404" s="30" t="n"/>
      <c r="P404" s="30" t="n"/>
    </row>
    <row r="405" customFormat="1" s="31">
      <c r="A405" s="32" t="n">
        <v>1</v>
      </c>
      <c r="B405" s="143" t="n">
        <v>125</v>
      </c>
      <c r="C405" s="144" t="n">
        <v>1</v>
      </c>
      <c r="D405" s="39" t="n">
        <v>1</v>
      </c>
      <c r="E405" s="32" t="inlineStr">
        <is>
          <t>토공</t>
        </is>
      </c>
      <c r="F405" s="33" t="inlineStr">
        <is>
          <t>연약지반</t>
        </is>
      </c>
      <c r="G405" s="34" t="inlineStr">
        <is>
          <t>지반 개량 공법의 종류</t>
        </is>
      </c>
      <c r="H405" s="30" t="n"/>
      <c r="I405" s="30" t="n"/>
      <c r="J405" s="30" t="n"/>
      <c r="K405" s="30" t="n"/>
      <c r="L405" s="30" t="n"/>
      <c r="M405" s="30" t="n"/>
      <c r="N405" s="30" t="n"/>
      <c r="O405" s="30" t="n"/>
      <c r="P405" s="30" t="n"/>
    </row>
    <row r="406" customFormat="1" s="31">
      <c r="A406" s="32" t="n">
        <v>2</v>
      </c>
      <c r="B406" s="143" t="n">
        <v>125</v>
      </c>
      <c r="C406" s="144" t="n">
        <v>1</v>
      </c>
      <c r="D406" s="39" t="n">
        <v>2</v>
      </c>
      <c r="E406" s="32" t="inlineStr">
        <is>
          <t>산안법</t>
        </is>
      </c>
      <c r="F406" s="33" t="inlineStr">
        <is>
          <t>공정안전보고서</t>
        </is>
      </c>
      <c r="G406" s="34" t="inlineStr">
        <is>
          <t>사전작업허가제(PTW : Permit To Work)</t>
        </is>
      </c>
      <c r="H406" s="30" t="n"/>
      <c r="I406" s="30" t="n"/>
      <c r="J406" s="30" t="n"/>
      <c r="K406" s="30" t="n"/>
      <c r="L406" s="30" t="n"/>
      <c r="M406" s="30" t="n"/>
      <c r="N406" s="30" t="n"/>
      <c r="O406" s="30" t="n"/>
      <c r="P406" s="30" t="n"/>
    </row>
    <row r="407" customFormat="1" s="31">
      <c r="A407" s="32" t="n">
        <v>3</v>
      </c>
      <c r="B407" s="143" t="n">
        <v>125</v>
      </c>
      <c r="C407" s="144" t="n">
        <v>1</v>
      </c>
      <c r="D407" s="39" t="n">
        <v>3</v>
      </c>
      <c r="E407" s="32" t="inlineStr">
        <is>
          <t>토공</t>
        </is>
      </c>
      <c r="F407" s="33" t="inlineStr">
        <is>
          <t>사면안정</t>
        </is>
      </c>
      <c r="G407" s="34" t="inlineStr">
        <is>
          <t>토석붕괴의 외적원인 및 내적원인</t>
        </is>
      </c>
      <c r="H407" s="30" t="n"/>
      <c r="I407" s="30" t="n"/>
      <c r="J407" s="30" t="n"/>
      <c r="K407" s="30" t="n"/>
      <c r="L407" s="30" t="n"/>
      <c r="M407" s="30" t="n"/>
      <c r="N407" s="30" t="n"/>
      <c r="O407" s="30" t="n"/>
      <c r="P407" s="30" t="n"/>
    </row>
    <row r="408" customFormat="1" s="31">
      <c r="A408" s="32" t="n">
        <v>4</v>
      </c>
      <c r="B408" s="143" t="n">
        <v>125</v>
      </c>
      <c r="C408" s="144" t="n">
        <v>1</v>
      </c>
      <c r="D408" s="39" t="n">
        <v>4</v>
      </c>
      <c r="E408" s="32" t="inlineStr">
        <is>
          <t>가설공사</t>
        </is>
      </c>
      <c r="F408" s="33" t="inlineStr">
        <is>
          <t>개구부 수평보호덮개</t>
        </is>
      </c>
      <c r="G408" s="34" t="inlineStr">
        <is>
          <t>개구부 방호조치</t>
        </is>
      </c>
      <c r="H408" s="30" t="n"/>
      <c r="I408" s="30" t="n"/>
      <c r="J408" s="30" t="n"/>
      <c r="K408" s="30" t="n"/>
      <c r="L408" s="30" t="n"/>
      <c r="M408" s="30" t="n"/>
      <c r="N408" s="30" t="n"/>
      <c r="O408" s="30" t="n"/>
      <c r="P408" s="30" t="n"/>
    </row>
    <row r="409" customFormat="1" s="31">
      <c r="A409" s="32" t="n">
        <v>5</v>
      </c>
      <c r="B409" s="143" t="n">
        <v>125</v>
      </c>
      <c r="C409" s="144" t="n">
        <v>1</v>
      </c>
      <c r="D409" s="39" t="n">
        <v>5</v>
      </c>
      <c r="E409" s="32" t="inlineStr">
        <is>
          <t>가설공사</t>
        </is>
      </c>
      <c r="F409" s="33" t="inlineStr">
        <is>
          <t>사다리</t>
        </is>
      </c>
      <c r="G409" s="34" t="inlineStr">
        <is>
          <t>이동식 사다리의 사용기준</t>
        </is>
      </c>
      <c r="H409" s="30" t="n"/>
      <c r="I409" s="30" t="n"/>
      <c r="J409" s="30" t="n"/>
      <c r="K409" s="30" t="n"/>
      <c r="L409" s="30" t="n"/>
      <c r="M409" s="30" t="n"/>
      <c r="N409" s="30" t="n"/>
      <c r="O409" s="30" t="n"/>
      <c r="P409" s="30" t="n"/>
    </row>
    <row r="410" customFormat="1" s="31">
      <c r="A410" s="32" t="n">
        <v>6</v>
      </c>
      <c r="B410" s="143" t="n">
        <v>125</v>
      </c>
      <c r="C410" s="144" t="n">
        <v>1</v>
      </c>
      <c r="D410" s="39" t="n">
        <v>6</v>
      </c>
      <c r="E410" s="32" t="inlineStr">
        <is>
          <t>건설기계</t>
        </is>
      </c>
      <c r="F410" s="33" t="inlineStr">
        <is>
          <t>지게차</t>
        </is>
      </c>
      <c r="G410" s="34" t="inlineStr">
        <is>
          <t>지게차작업 시 재해예방 안전조치</t>
        </is>
      </c>
      <c r="H410" s="30" t="n"/>
      <c r="I410" s="30" t="n"/>
      <c r="J410" s="30" t="n"/>
      <c r="K410" s="30" t="n"/>
      <c r="L410" s="30" t="n"/>
      <c r="M410" s="30" t="n"/>
      <c r="N410" s="30" t="n"/>
      <c r="O410" s="30" t="n"/>
      <c r="P410" s="30" t="n"/>
    </row>
    <row r="411" customFormat="1" s="31">
      <c r="A411" s="32" t="n">
        <v>7</v>
      </c>
      <c r="B411" s="143" t="n">
        <v>125</v>
      </c>
      <c r="C411" s="144" t="n">
        <v>1</v>
      </c>
      <c r="D411" s="39" t="n">
        <v>7</v>
      </c>
      <c r="E411" s="32" t="inlineStr">
        <is>
          <t>건설기계</t>
        </is>
      </c>
      <c r="F411" s="33" t="inlineStr">
        <is>
          <t>고장곡선</t>
        </is>
      </c>
      <c r="G411" s="34" t="inlineStr">
        <is>
          <t>기계설비의 고장곡선</t>
        </is>
      </c>
      <c r="H411" s="30" t="n"/>
      <c r="I411" s="30" t="n"/>
      <c r="J411" s="30" t="n"/>
      <c r="K411" s="30" t="n"/>
      <c r="L411" s="30" t="n"/>
      <c r="M411" s="30" t="n"/>
      <c r="N411" s="30" t="n"/>
      <c r="O411" s="30" t="n"/>
      <c r="P411" s="30" t="n"/>
    </row>
    <row r="412" customFormat="1" s="31">
      <c r="A412" s="32" t="n">
        <v>8</v>
      </c>
      <c r="B412" s="143" t="n">
        <v>125</v>
      </c>
      <c r="C412" s="144" t="n">
        <v>1</v>
      </c>
      <c r="D412" s="39" t="n">
        <v>8</v>
      </c>
      <c r="E412" s="32" t="inlineStr">
        <is>
          <t>건설기계</t>
        </is>
      </c>
      <c r="F412" s="33" t="inlineStr">
        <is>
          <t>곤돌라</t>
        </is>
      </c>
      <c r="G412" s="34" t="inlineStr">
        <is>
          <t>곤돌라 안전장치의 종류</t>
        </is>
      </c>
      <c r="H412" s="30" t="n"/>
      <c r="I412" s="30" t="n"/>
      <c r="J412" s="30" t="n"/>
      <c r="K412" s="30" t="n"/>
      <c r="L412" s="30" t="n"/>
      <c r="M412" s="30" t="n"/>
      <c r="N412" s="30" t="n"/>
      <c r="O412" s="30" t="n"/>
      <c r="P412" s="30" t="n"/>
    </row>
    <row r="413" customFormat="1" s="31">
      <c r="A413" s="32" t="n">
        <v>9</v>
      </c>
      <c r="B413" s="143" t="n">
        <v>125</v>
      </c>
      <c r="C413" s="144" t="n">
        <v>1</v>
      </c>
      <c r="D413" s="39" t="n">
        <v>9</v>
      </c>
      <c r="E413" s="32" t="inlineStr">
        <is>
          <t>가설공사</t>
        </is>
      </c>
      <c r="F413" s="33" t="inlineStr">
        <is>
          <t>추락방호망</t>
        </is>
      </c>
      <c r="G413" s="34" t="inlineStr">
        <is>
          <t>추락방호망</t>
        </is>
      </c>
      <c r="H413" s="30" t="n"/>
      <c r="I413" s="30" t="n"/>
      <c r="J413" s="30" t="n"/>
      <c r="K413" s="30" t="n"/>
      <c r="L413" s="30" t="n"/>
      <c r="M413" s="30" t="n"/>
      <c r="N413" s="30" t="n"/>
      <c r="O413" s="30" t="n"/>
      <c r="P413" s="30" t="n"/>
    </row>
    <row r="414" customFormat="1" s="31">
      <c r="A414" s="32" t="n">
        <v>10</v>
      </c>
      <c r="B414" s="143" t="n">
        <v>125</v>
      </c>
      <c r="C414" s="144" t="n">
        <v>1</v>
      </c>
      <c r="D414" s="39" t="n">
        <v>10</v>
      </c>
      <c r="E414" s="32" t="inlineStr">
        <is>
          <t>계절재해</t>
        </is>
      </c>
      <c r="F414" s="33" t="inlineStr">
        <is>
          <t>폭염</t>
        </is>
      </c>
      <c r="G414" s="34" t="inlineStr">
        <is>
          <t>열사병 예방 3대 기본수칙 및 응급상황 시 대응방법</t>
        </is>
      </c>
      <c r="H414" s="30" t="n"/>
      <c r="I414" s="30" t="n"/>
      <c r="J414" s="30" t="n"/>
      <c r="K414" s="30" t="n"/>
      <c r="L414" s="30" t="n"/>
      <c r="M414" s="30" t="n"/>
      <c r="N414" s="30" t="n"/>
      <c r="O414" s="30" t="n"/>
      <c r="P414" s="30" t="n"/>
    </row>
    <row r="415" customFormat="1" s="31">
      <c r="A415" s="32" t="n">
        <v>11</v>
      </c>
      <c r="B415" s="143" t="n">
        <v>125</v>
      </c>
      <c r="C415" s="144" t="n">
        <v>1</v>
      </c>
      <c r="D415" s="39" t="n">
        <v>11</v>
      </c>
      <c r="E415" s="32" t="inlineStr">
        <is>
          <t>산안법</t>
        </is>
      </c>
      <c r="F415" s="33" t="inlineStr">
        <is>
          <t>안전보건대장</t>
        </is>
      </c>
      <c r="G415" s="34" t="inlineStr">
        <is>
          <t>건설공사 발주자의 산업재해예방 조치</t>
        </is>
      </c>
      <c r="H415" s="30" t="n"/>
      <c r="I415" s="30" t="n"/>
      <c r="J415" s="30" t="n"/>
      <c r="K415" s="30" t="n"/>
      <c r="L415" s="30" t="n"/>
      <c r="M415" s="30" t="n"/>
      <c r="N415" s="30" t="n"/>
      <c r="O415" s="30" t="n"/>
      <c r="P415" s="30" t="n"/>
    </row>
    <row r="416" customFormat="1" s="31">
      <c r="A416" s="32" t="n">
        <v>12</v>
      </c>
      <c r="B416" s="143" t="n">
        <v>125</v>
      </c>
      <c r="C416" s="144" t="n">
        <v>1</v>
      </c>
      <c r="D416" s="39" t="n">
        <v>12</v>
      </c>
      <c r="E416" s="32" t="inlineStr">
        <is>
          <t>안전관리론</t>
        </is>
      </c>
      <c r="F416" s="33" t="inlineStr">
        <is>
          <t>시스템안전</t>
        </is>
      </c>
      <c r="G416" s="34" t="inlineStr">
        <is>
          <t>Fail safe 와 Fool proof</t>
        </is>
      </c>
      <c r="H416" s="30" t="n"/>
      <c r="I416" s="30" t="n"/>
      <c r="J416" s="30" t="n"/>
      <c r="K416" s="30" t="n"/>
      <c r="L416" s="30" t="n"/>
      <c r="M416" s="30" t="n"/>
      <c r="N416" s="30" t="n"/>
      <c r="O416" s="30" t="n"/>
      <c r="P416" s="30" t="n"/>
    </row>
    <row r="417" customFormat="1" s="31">
      <c r="A417" s="32" t="n">
        <v>13</v>
      </c>
      <c r="B417" s="143" t="n">
        <v>125</v>
      </c>
      <c r="C417" s="144" t="n">
        <v>1</v>
      </c>
      <c r="D417" s="39" t="n">
        <v>13</v>
      </c>
      <c r="E417" s="32" t="inlineStr">
        <is>
          <t>토공</t>
        </is>
      </c>
      <c r="F417" s="33" t="inlineStr">
        <is>
          <t>사면안정</t>
        </is>
      </c>
      <c r="G417" s="34" t="inlineStr">
        <is>
          <t>절토 사면의 계측항목과 계측기기 종류</t>
        </is>
      </c>
      <c r="H417" s="30" t="n"/>
      <c r="I417" s="30" t="n"/>
      <c r="J417" s="30" t="n"/>
      <c r="K417" s="30" t="n"/>
      <c r="L417" s="30" t="n"/>
      <c r="M417" s="30" t="n"/>
      <c r="N417" s="30" t="n"/>
      <c r="O417" s="30" t="n"/>
      <c r="P417" s="30" t="n"/>
    </row>
    <row r="418" ht="33" customFormat="1" customHeight="1" s="31">
      <c r="A418" s="32" t="n">
        <v>14</v>
      </c>
      <c r="B418" s="143" t="n">
        <v>125</v>
      </c>
      <c r="C418" s="144" t="n">
        <v>2</v>
      </c>
      <c r="D418" s="39" t="n">
        <v>1</v>
      </c>
      <c r="E418" s="32" t="inlineStr">
        <is>
          <t>기초</t>
        </is>
      </c>
      <c r="F418" s="33" t="inlineStr">
        <is>
          <t>흙막이</t>
        </is>
      </c>
      <c r="G418" s="34" t="inlineStr">
        <is>
          <t>도심지 공사에서 흙막이 공법 선정 시 고려사항, 주변 침하 및 지반 변위 원인과 방지
대책에 대하여 설명하시오</t>
        </is>
      </c>
      <c r="H418" s="30" t="n"/>
      <c r="I418" s="30" t="n"/>
      <c r="J418" s="30" t="n"/>
      <c r="K418" s="30" t="n"/>
      <c r="L418" s="30" t="n"/>
      <c r="M418" s="30" t="n"/>
      <c r="N418" s="30" t="n"/>
      <c r="O418" s="30" t="n"/>
      <c r="P418" s="30" t="n"/>
    </row>
    <row r="419" ht="33" customFormat="1" customHeight="1" s="31">
      <c r="A419" s="32" t="n">
        <v>15</v>
      </c>
      <c r="B419" s="143" t="n">
        <v>125</v>
      </c>
      <c r="C419" s="144" t="n">
        <v>2</v>
      </c>
      <c r="D419" s="39" t="n">
        <v>2</v>
      </c>
      <c r="E419" s="32" t="inlineStr">
        <is>
          <t>건축</t>
        </is>
      </c>
      <c r="F419" s="33" t="inlineStr">
        <is>
          <t>PC공법</t>
        </is>
      </c>
      <c r="G419" s="34" t="inlineStr">
        <is>
          <t>건축물의 PC(Precast Concrete)공사 부재별 시공 시 유의사항과 작업 단계별 안전관리
방안에 대하여 설명하시오.</t>
        </is>
      </c>
      <c r="H419" s="30" t="n"/>
      <c r="I419" s="30" t="n"/>
      <c r="J419" s="30" t="n"/>
      <c r="K419" s="30" t="n"/>
      <c r="L419" s="30" t="n"/>
      <c r="M419" s="30" t="n"/>
      <c r="N419" s="30" t="n"/>
      <c r="O419" s="30" t="n"/>
      <c r="P419" s="30" t="n"/>
    </row>
    <row r="420" ht="33" customFormat="1" customHeight="1" s="31">
      <c r="A420" s="32" t="n">
        <v>16</v>
      </c>
      <c r="B420" s="143" t="n">
        <v>125</v>
      </c>
      <c r="C420" s="144" t="n">
        <v>2</v>
      </c>
      <c r="D420" s="39" t="n">
        <v>3</v>
      </c>
      <c r="E420" s="32" t="inlineStr">
        <is>
          <t>가설공사</t>
        </is>
      </c>
      <c r="F420" s="33" t="inlineStr">
        <is>
          <t>시스템비계</t>
        </is>
      </c>
      <c r="G420" s="34" t="inlineStr">
        <is>
          <t>기존 시스템비계의 문제점과 안전난간 선(先) 조립비계의 안전성 및 활용방안에 대하여
설명하시오</t>
        </is>
      </c>
      <c r="H420" s="30" t="n"/>
      <c r="I420" s="30" t="n"/>
      <c r="J420" s="30" t="n"/>
      <c r="K420" s="30" t="n"/>
      <c r="L420" s="30" t="n"/>
      <c r="M420" s="30" t="n"/>
      <c r="N420" s="30" t="n"/>
      <c r="O420" s="30" t="n"/>
      <c r="P420" s="30" t="n"/>
    </row>
    <row r="421" customFormat="1" s="31">
      <c r="A421" s="32" t="n">
        <v>17</v>
      </c>
      <c r="B421" s="143" t="n">
        <v>125</v>
      </c>
      <c r="C421" s="144" t="n">
        <v>2</v>
      </c>
      <c r="D421" s="39" t="n">
        <v>4</v>
      </c>
      <c r="E421" s="32" t="inlineStr">
        <is>
          <t>제방 댐 항만</t>
        </is>
      </c>
      <c r="F421" s="33" t="inlineStr">
        <is>
          <t>제방 붕괴</t>
        </is>
      </c>
      <c r="G421" s="34" t="inlineStr">
        <is>
          <t>하절기 집중호우로 인한 제방 붕괴의 원인 및 방지대책에 대하여 설명하시오</t>
        </is>
      </c>
      <c r="H421" s="30" t="n"/>
      <c r="I421" s="30" t="n"/>
      <c r="J421" s="30" t="n"/>
      <c r="K421" s="30" t="n"/>
      <c r="L421" s="30" t="n"/>
      <c r="M421" s="30" t="n"/>
      <c r="N421" s="30" t="n"/>
      <c r="O421" s="30" t="n"/>
      <c r="P421" s="30" t="n"/>
    </row>
    <row r="422" ht="33" customFormat="1" customHeight="1" s="31">
      <c r="A422" s="32" t="n">
        <v>18</v>
      </c>
      <c r="B422" s="143" t="n">
        <v>125</v>
      </c>
      <c r="C422" s="144" t="n">
        <v>2</v>
      </c>
      <c r="D422" s="39" t="n">
        <v>5</v>
      </c>
      <c r="E422" s="32" t="inlineStr">
        <is>
          <t>안전관리론</t>
        </is>
      </c>
      <c r="F422" s="33" t="inlineStr">
        <is>
          <t>재해조사 및 통계</t>
        </is>
      </c>
      <c r="G422" s="34" t="inlineStr">
        <is>
          <t>재해손실 비용 산정 시 고려사항 및 Heinrich 방식과 Simonds 방식을 비교 설명
하시오</t>
        </is>
      </c>
      <c r="H422" s="30" t="n"/>
      <c r="I422" s="30" t="n"/>
      <c r="J422" s="30" t="n"/>
      <c r="K422" s="30" t="n"/>
      <c r="L422" s="30" t="n"/>
      <c r="M422" s="30" t="n"/>
      <c r="N422" s="30" t="n"/>
      <c r="O422" s="30" t="n"/>
      <c r="P422" s="30" t="n"/>
    </row>
    <row r="423" ht="33" customFormat="1" customHeight="1" s="31">
      <c r="A423" s="32" t="n">
        <v>19</v>
      </c>
      <c r="B423" s="143" t="n">
        <v>125</v>
      </c>
      <c r="C423" s="144" t="n">
        <v>2</v>
      </c>
      <c r="D423" s="39" t="n">
        <v>6</v>
      </c>
      <c r="E423" s="32" t="inlineStr">
        <is>
          <t>건진법</t>
        </is>
      </c>
      <c r="F423" s="33" t="inlineStr">
        <is>
          <t>안전관리 조직 안전관리비</t>
        </is>
      </c>
      <c r="G423" s="34" t="inlineStr">
        <is>
          <t>「건설기술진흥법령」에서 규정하고 있는 건설공사의 안전관리조직과 안전관리비용에
대하여 설명하시오.</t>
        </is>
      </c>
      <c r="H423" s="30" t="n"/>
      <c r="I423" s="30" t="n"/>
      <c r="J423" s="30" t="n"/>
      <c r="K423" s="30" t="n"/>
      <c r="L423" s="30" t="n"/>
      <c r="M423" s="30" t="n"/>
      <c r="N423" s="30" t="n"/>
      <c r="O423" s="30" t="n"/>
      <c r="P423" s="30" t="n"/>
    </row>
    <row r="424" ht="33" customFormat="1" customHeight="1" s="31">
      <c r="A424" s="32" t="n">
        <v>20</v>
      </c>
      <c r="B424" s="143" t="n">
        <v>125</v>
      </c>
      <c r="C424" s="144" t="n">
        <v>3</v>
      </c>
      <c r="D424" s="39" t="n">
        <v>1</v>
      </c>
      <c r="E424" s="32" t="inlineStr">
        <is>
          <t>산안법</t>
        </is>
      </c>
      <c r="F424" s="33" t="inlineStr">
        <is>
          <t>안전보건교육</t>
        </is>
      </c>
      <c r="G424" s="34" t="inlineStr">
        <is>
          <t>「산업안전보건법령」상 안전교육의 종류를 열거하고, 아파트 리모델링 공사 중 특별
안전교육 대상작업의 종류 및 교육내용에 대하여 설명하시오</t>
        </is>
      </c>
      <c r="H424" s="30" t="n"/>
      <c r="I424" s="30" t="n"/>
      <c r="J424" s="30" t="n"/>
      <c r="K424" s="30" t="n"/>
      <c r="L424" s="30" t="n"/>
      <c r="M424" s="30" t="n"/>
      <c r="N424" s="30" t="n"/>
      <c r="O424" s="30" t="n"/>
      <c r="P424" s="30" t="n"/>
    </row>
    <row r="425" ht="33" customFormat="1" customHeight="1" s="31">
      <c r="A425" s="32" t="n">
        <v>21</v>
      </c>
      <c r="B425" s="143" t="n">
        <v>125</v>
      </c>
      <c r="C425" s="144" t="n">
        <v>3</v>
      </c>
      <c r="D425" s="39" t="n">
        <v>2</v>
      </c>
      <c r="E425" s="32" t="inlineStr">
        <is>
          <t>해체공사</t>
        </is>
      </c>
      <c r="F425" s="33" t="n"/>
      <c r="G425" s="34" t="inlineStr">
        <is>
          <t>도심지 공사에서 구조물 해체 시 사전조사 사항과 안전사고 유형 및 안전관리
방안에 대하여 설명하시오</t>
        </is>
      </c>
      <c r="H425" s="30" t="n"/>
      <c r="I425" s="30" t="n"/>
      <c r="J425" s="30" t="n"/>
      <c r="K425" s="30" t="n"/>
      <c r="L425" s="30" t="n"/>
      <c r="M425" s="30" t="n"/>
      <c r="N425" s="30" t="n"/>
      <c r="O425" s="30" t="n"/>
      <c r="P425" s="30" t="n"/>
    </row>
    <row r="426" ht="33" customFormat="1" customHeight="1" s="31">
      <c r="A426" s="32" t="n">
        <v>22</v>
      </c>
      <c r="B426" s="143" t="n">
        <v>125</v>
      </c>
      <c r="C426" s="144" t="n">
        <v>3</v>
      </c>
      <c r="D426" s="39" t="n">
        <v>3</v>
      </c>
      <c r="E426" s="32" t="inlineStr">
        <is>
          <t>콘크리트</t>
        </is>
      </c>
      <c r="F426" s="33" t="inlineStr">
        <is>
          <t>거푸집_데크플레이트</t>
        </is>
      </c>
      <c r="G426" s="34" t="inlineStr">
        <is>
          <t>데크 플레이트(Deck Plate) 공사 단계별 시공 시 유의사항과 안전사고 유형 및 안전관리
방안에 대하여 설명하시오.</t>
        </is>
      </c>
      <c r="H426" s="30" t="n"/>
      <c r="I426" s="30" t="n"/>
      <c r="J426" s="30" t="n"/>
      <c r="K426" s="30" t="n"/>
      <c r="L426" s="30" t="n"/>
      <c r="M426" s="30" t="n"/>
      <c r="N426" s="30" t="n"/>
      <c r="O426" s="30" t="n"/>
      <c r="P426" s="30" t="n"/>
    </row>
    <row r="427" ht="33" customFormat="1" customHeight="1" s="31">
      <c r="A427" s="32" t="n">
        <v>23</v>
      </c>
      <c r="B427" s="143" t="n">
        <v>125</v>
      </c>
      <c r="C427" s="144" t="n">
        <v>3</v>
      </c>
      <c r="D427" s="39" t="n">
        <v>4</v>
      </c>
      <c r="E427" s="32" t="inlineStr">
        <is>
          <t>산안법</t>
        </is>
      </c>
      <c r="F427" s="33" t="inlineStr">
        <is>
          <t>작업환경_소음</t>
        </is>
      </c>
      <c r="G427" s="34" t="inlineStr">
        <is>
          <t>「산업안전보건기준에 관한 규칙」상 건설공사에서 소음작업, 강렬한 소음작업, 충격
소음작업에 대한 소음기준을 작성하고, 그에 따른 안전관리 기준에 대하여 설명하시오</t>
        </is>
      </c>
      <c r="H427" s="30" t="n"/>
      <c r="I427" s="30" t="n"/>
      <c r="J427" s="30" t="n"/>
      <c r="K427" s="30" t="n"/>
      <c r="L427" s="30" t="n"/>
      <c r="M427" s="30" t="n"/>
      <c r="N427" s="30" t="n"/>
      <c r="O427" s="30" t="n"/>
      <c r="P427" s="30" t="n"/>
    </row>
    <row r="428" ht="33" customFormat="1" customHeight="1" s="31">
      <c r="A428" s="32" t="n">
        <v>24</v>
      </c>
      <c r="B428" s="143" t="n">
        <v>125</v>
      </c>
      <c r="C428" s="144" t="n">
        <v>3</v>
      </c>
      <c r="D428" s="39" t="n">
        <v>5</v>
      </c>
      <c r="E428" s="32" t="inlineStr">
        <is>
          <t>안전관리론</t>
        </is>
      </c>
      <c r="F428" s="33" t="inlineStr">
        <is>
          <t>인간공학</t>
        </is>
      </c>
      <c r="G428" s="34" t="inlineStr">
        <is>
          <t>휴먼에러(Human Error)의 분류에 대하여 작성하고, 공사 계획단계부터 사용 및 유지
관리 단계에 이르기까지 각 단계별로 발생될 수 있는 휴먼에러에 대하여 설명하시오</t>
        </is>
      </c>
      <c r="H428" s="30" t="n"/>
      <c r="I428" s="30" t="n"/>
      <c r="J428" s="30" t="n"/>
      <c r="K428" s="30" t="n"/>
      <c r="L428" s="30" t="n"/>
      <c r="M428" s="30" t="n"/>
      <c r="N428" s="30" t="n"/>
      <c r="O428" s="30" t="n"/>
      <c r="P428" s="30" t="n"/>
    </row>
    <row r="429" ht="33" customFormat="1" customHeight="1" s="31">
      <c r="A429" s="32" t="n">
        <v>25</v>
      </c>
      <c r="B429" s="143" t="n">
        <v>125</v>
      </c>
      <c r="C429" s="144" t="n">
        <v>3</v>
      </c>
      <c r="D429" s="39" t="n">
        <v>6</v>
      </c>
      <c r="E429" s="32" t="inlineStr">
        <is>
          <t>산안법</t>
        </is>
      </c>
      <c r="F429" s="33" t="inlineStr">
        <is>
          <t>중대재해</t>
        </is>
      </c>
      <c r="G429" s="34" t="inlineStr">
        <is>
          <t>중대재해 발생 시「산업안전보건법령」에서 규정하고 있는 사업주의 조치 사항과 고용노동부
장관의 작업중지 조치 기준 및 중대재해 원인조사 내용에 대하여 설명하시오</t>
        </is>
      </c>
      <c r="H429" s="30" t="n"/>
      <c r="I429" s="30" t="n"/>
      <c r="J429" s="30" t="n"/>
      <c r="K429" s="30" t="n"/>
      <c r="L429" s="30" t="n"/>
      <c r="M429" s="30" t="n"/>
      <c r="N429" s="30" t="n"/>
      <c r="O429" s="30" t="n"/>
      <c r="P429" s="30" t="n"/>
    </row>
    <row r="430" ht="33" customFormat="1" customHeight="1" s="31">
      <c r="A430" s="32" t="n">
        <v>26</v>
      </c>
      <c r="B430" s="143" t="n">
        <v>125</v>
      </c>
      <c r="C430" s="144" t="n">
        <v>4</v>
      </c>
      <c r="D430" s="39" t="n">
        <v>1</v>
      </c>
      <c r="E430" s="32" t="inlineStr">
        <is>
          <t>건축</t>
        </is>
      </c>
      <c r="F430" s="33" t="inlineStr">
        <is>
          <t>무량판슬래브</t>
        </is>
      </c>
      <c r="G430" s="34" t="inlineStr">
        <is>
          <t>무량판 슬래브와 철근 콘크리트 슬래브를 비교 설명하고, 무량판 슬래브 시공 시
안전성 확보 방안에 대하여 설명하시오.</t>
        </is>
      </c>
      <c r="H430" s="30" t="n"/>
      <c r="I430" s="30" t="n"/>
      <c r="J430" s="30" t="n"/>
      <c r="K430" s="30" t="n"/>
      <c r="L430" s="30" t="n"/>
      <c r="M430" s="30" t="n"/>
      <c r="N430" s="30" t="n"/>
      <c r="O430" s="30" t="n"/>
      <c r="P430" s="30" t="n"/>
    </row>
    <row r="431" ht="33" customFormat="1" customHeight="1" s="31">
      <c r="A431" s="32" t="n">
        <v>27</v>
      </c>
      <c r="B431" s="143" t="n">
        <v>125</v>
      </c>
      <c r="C431" s="144" t="n">
        <v>4</v>
      </c>
      <c r="D431" s="39" t="n">
        <v>2</v>
      </c>
      <c r="E431" s="32" t="inlineStr">
        <is>
          <t>가설공사</t>
        </is>
      </c>
      <c r="F431" s="33" t="inlineStr">
        <is>
          <t>시스템 동바리</t>
        </is>
      </c>
      <c r="G431" s="34" t="inlineStr">
        <is>
          <t>시스템 동바리 설치 시 주의사항과 안전사고 발생원인 및 안전관리 방안에 대하여
설명하시오</t>
        </is>
      </c>
      <c r="H431" s="30" t="n"/>
      <c r="I431" s="30" t="n"/>
      <c r="J431" s="30" t="n"/>
      <c r="K431" s="30" t="n"/>
      <c r="L431" s="30" t="n"/>
      <c r="M431" s="30" t="n"/>
      <c r="N431" s="30" t="n"/>
      <c r="O431" s="30" t="n"/>
      <c r="P431" s="30" t="n"/>
    </row>
    <row r="432" ht="33" customFormat="1" customHeight="1" s="31">
      <c r="A432" s="32" t="n">
        <v>28</v>
      </c>
      <c r="B432" s="143" t="n">
        <v>125</v>
      </c>
      <c r="C432" s="144" t="n">
        <v>4</v>
      </c>
      <c r="D432" s="39" t="n">
        <v>3</v>
      </c>
      <c r="E432" s="32" t="inlineStr">
        <is>
          <t>건설기계</t>
        </is>
      </c>
      <c r="F432" s="33" t="inlineStr">
        <is>
          <t>고소작업대</t>
        </is>
      </c>
      <c r="G432" s="34" t="inlineStr">
        <is>
          <t>건설현장에서 사용되는 고소작업대(차량탑재형)의 구성요소와 안전작업 절차 및 작업 중
준수사항에 대하여 설명하시오</t>
        </is>
      </c>
      <c r="H432" s="30" t="n"/>
      <c r="I432" s="30" t="n"/>
      <c r="J432" s="30" t="n"/>
      <c r="K432" s="30" t="n"/>
      <c r="L432" s="30" t="n"/>
      <c r="M432" s="30" t="n"/>
      <c r="N432" s="30" t="n"/>
      <c r="O432" s="30" t="n"/>
      <c r="P432" s="30" t="n"/>
    </row>
    <row r="433" ht="33" customFormat="1" customHeight="1" s="31">
      <c r="A433" s="32" t="n">
        <v>29</v>
      </c>
      <c r="B433" s="143" t="n">
        <v>125</v>
      </c>
      <c r="C433" s="144" t="n">
        <v>4</v>
      </c>
      <c r="D433" s="39" t="n">
        <v>4</v>
      </c>
      <c r="E433" s="32" t="inlineStr">
        <is>
          <t>산안법</t>
        </is>
      </c>
      <c r="F433" s="33" t="inlineStr">
        <is>
          <t>KOSHA-MS</t>
        </is>
      </c>
      <c r="G433" s="34" t="inlineStr">
        <is>
          <t>건설업 KOSHA-MS 관련 종합건설업체 본사분야의 “리더십과 근로자의 참여” 인증
항목 중 리더십과 의지표명, 근로자의 참여 및 협의 항목의 인증기준에 대하여 설명하시오.</t>
        </is>
      </c>
      <c r="H433" s="30" t="n"/>
      <c r="I433" s="30" t="n"/>
      <c r="J433" s="30" t="n"/>
      <c r="K433" s="30" t="n"/>
      <c r="L433" s="30" t="n"/>
      <c r="M433" s="30" t="n"/>
      <c r="N433" s="30" t="n"/>
      <c r="O433" s="30" t="n"/>
      <c r="P433" s="30" t="n"/>
    </row>
    <row r="434" ht="33" customFormat="1" customHeight="1" s="31">
      <c r="A434" s="32" t="n">
        <v>30</v>
      </c>
      <c r="B434" s="143" t="n">
        <v>125</v>
      </c>
      <c r="C434" s="144" t="n">
        <v>4</v>
      </c>
      <c r="D434" s="39" t="n">
        <v>5</v>
      </c>
      <c r="E434" s="32" t="inlineStr">
        <is>
          <t>시설물안전법</t>
        </is>
      </c>
      <c r="F434" s="33" t="inlineStr">
        <is>
          <t>3종 시설물</t>
        </is>
      </c>
      <c r="G434" s="34" t="inlineStr">
        <is>
          <t>제3종 시설물의 정기안전점검 계획수립 시 고려하여야 할 사항과 정기안전점검 시
점검항목 및 점검방법에 대하여 설명하시오</t>
        </is>
      </c>
      <c r="H434" s="30" t="n"/>
      <c r="I434" s="30" t="n"/>
      <c r="J434" s="30" t="n"/>
      <c r="K434" s="30" t="n"/>
      <c r="L434" s="30" t="n"/>
      <c r="M434" s="30" t="n"/>
      <c r="N434" s="30" t="n"/>
      <c r="O434" s="30" t="n"/>
      <c r="P434" s="30" t="n"/>
    </row>
    <row r="435" customFormat="1" s="31">
      <c r="A435" s="32" t="n">
        <v>31</v>
      </c>
      <c r="B435" s="143" t="n">
        <v>125</v>
      </c>
      <c r="C435" s="144" t="n">
        <v>4</v>
      </c>
      <c r="D435" s="39" t="n">
        <v>6</v>
      </c>
      <c r="E435" s="32" t="inlineStr">
        <is>
          <t>콘크리트</t>
        </is>
      </c>
      <c r="F435" s="33" t="inlineStr">
        <is>
          <t>철근 거푸집 콘크리트</t>
        </is>
      </c>
      <c r="G435" s="34" t="inlineStr">
        <is>
          <t>철근콘크리트 공사 단계별 시공 시 유의사항과 안전관리 방안에 대하여 설명하시오</t>
        </is>
      </c>
      <c r="H435" s="30" t="n"/>
      <c r="I435" s="30" t="n"/>
      <c r="J435" s="30" t="n"/>
      <c r="K435" s="30" t="n"/>
      <c r="L435" s="30" t="n"/>
      <c r="M435" s="30" t="n"/>
      <c r="N435" s="30" t="n"/>
      <c r="O435" s="30" t="n"/>
      <c r="P435" s="30" t="n"/>
    </row>
    <row r="436" customFormat="1" s="31">
      <c r="A436" s="32" t="n">
        <v>32</v>
      </c>
      <c r="B436" s="143" t="n">
        <v>124</v>
      </c>
      <c r="C436" s="144" t="n">
        <v>1</v>
      </c>
      <c r="D436" s="39" t="n">
        <v>1</v>
      </c>
      <c r="E436" s="32" t="inlineStr">
        <is>
          <t>안전관리론</t>
        </is>
      </c>
      <c r="F436" s="33" t="inlineStr">
        <is>
          <t>안전교육</t>
        </is>
      </c>
      <c r="G436" s="34" t="inlineStr">
        <is>
          <t>헤르만 에빙하우스의 망각곡선</t>
        </is>
      </c>
      <c r="H436" s="30" t="n"/>
      <c r="I436" s="30" t="n"/>
      <c r="J436" s="30" t="n"/>
      <c r="K436" s="30" t="n"/>
      <c r="L436" s="30" t="n"/>
      <c r="M436" s="30" t="n"/>
      <c r="N436" s="30" t="n"/>
      <c r="O436" s="30" t="n"/>
      <c r="P436" s="30" t="n"/>
    </row>
    <row r="437" customFormat="1" s="30">
      <c r="A437" s="32" t="n">
        <v>33</v>
      </c>
      <c r="B437" s="143" t="n">
        <v>124</v>
      </c>
      <c r="C437" s="144" t="n">
        <v>1</v>
      </c>
      <c r="D437" s="39" t="n">
        <v>2</v>
      </c>
      <c r="E437" s="32" t="inlineStr">
        <is>
          <t>건진법</t>
        </is>
      </c>
      <c r="F437" s="33" t="inlineStr">
        <is>
          <t>스마트 안전장비</t>
        </is>
      </c>
      <c r="G437" s="34" t="inlineStr">
        <is>
          <t>스마트 추락방지대</t>
        </is>
      </c>
    </row>
    <row r="438" customFormat="1" s="30">
      <c r="A438" s="32" t="n">
        <v>34</v>
      </c>
      <c r="B438" s="143" t="n">
        <v>124</v>
      </c>
      <c r="C438" s="144" t="n">
        <v>1</v>
      </c>
      <c r="D438" s="39" t="n">
        <v>3</v>
      </c>
      <c r="E438" s="32" t="inlineStr">
        <is>
          <t>콘크리트</t>
        </is>
      </c>
      <c r="F438" s="33" t="inlineStr">
        <is>
          <t>거푸집_측압</t>
        </is>
      </c>
      <c r="G438" s="34" t="inlineStr">
        <is>
          <t>거푸집에 작용하는 콘크리트 측압에 영향을 주는 요인</t>
        </is>
      </c>
    </row>
    <row r="439" customFormat="1" s="30">
      <c r="A439" s="32" t="n">
        <v>35</v>
      </c>
      <c r="B439" s="143" t="n">
        <v>124</v>
      </c>
      <c r="C439" s="144" t="n">
        <v>1</v>
      </c>
      <c r="D439" s="39" t="n">
        <v>4</v>
      </c>
      <c r="E439" s="32" t="inlineStr">
        <is>
          <t>강재</t>
        </is>
      </c>
      <c r="F439" s="33" t="inlineStr">
        <is>
          <t>연성파괴 취성파괴</t>
        </is>
      </c>
      <c r="G439" s="34" t="inlineStr">
        <is>
          <t>강재의 연성파괴와 취성파괴</t>
        </is>
      </c>
    </row>
    <row r="440" customFormat="1" s="30">
      <c r="A440" s="32" t="n">
        <v>36</v>
      </c>
      <c r="B440" s="143" t="n">
        <v>124</v>
      </c>
      <c r="C440" s="144" t="n">
        <v>1</v>
      </c>
      <c r="D440" s="39" t="n">
        <v>5</v>
      </c>
      <c r="E440" s="32" t="inlineStr">
        <is>
          <t>산안법</t>
        </is>
      </c>
      <c r="F440" s="33" t="inlineStr">
        <is>
          <t>사업주의 의무</t>
        </is>
      </c>
      <c r="G440" s="34" t="inlineStr">
        <is>
          <t>산업안전보건법상 사업주의 의무</t>
        </is>
      </c>
    </row>
    <row r="441" customFormat="1" s="30">
      <c r="A441" s="32" t="n">
        <v>37</v>
      </c>
      <c r="B441" s="143" t="n">
        <v>124</v>
      </c>
      <c r="C441" s="144" t="n">
        <v>1</v>
      </c>
      <c r="D441" s="39" t="n">
        <v>6</v>
      </c>
      <c r="E441" s="32" t="inlineStr">
        <is>
          <t>재해유형</t>
        </is>
      </c>
      <c r="F441" s="33" t="inlineStr">
        <is>
          <t>산소결핍</t>
        </is>
      </c>
      <c r="G441" s="34" t="inlineStr">
        <is>
          <t>산소결핍에 따른 생리적 반응</t>
        </is>
      </c>
    </row>
    <row r="442" customFormat="1" s="30">
      <c r="A442" s="32" t="n">
        <v>38</v>
      </c>
      <c r="B442" s="143" t="n">
        <v>124</v>
      </c>
      <c r="C442" s="144" t="n">
        <v>1</v>
      </c>
      <c r="D442" s="39" t="n">
        <v>7</v>
      </c>
      <c r="E442" s="32" t="inlineStr">
        <is>
          <t>건진법</t>
        </is>
      </c>
      <c r="F442" s="33" t="inlineStr">
        <is>
          <t>CSI</t>
        </is>
      </c>
      <c r="G442" s="34" t="inlineStr">
        <is>
          <t>건설기술 진흥법상 건설공사 안전관리 종합정보망(C.S.I)</t>
        </is>
      </c>
    </row>
    <row r="443" customFormat="1" s="30">
      <c r="A443" s="32" t="n">
        <v>39</v>
      </c>
      <c r="B443" s="143" t="n">
        <v>124</v>
      </c>
      <c r="C443" s="144" t="n">
        <v>1</v>
      </c>
      <c r="D443" s="39" t="n">
        <v>8</v>
      </c>
      <c r="E443" s="32" t="inlineStr">
        <is>
          <t>산안법</t>
        </is>
      </c>
      <c r="F443" s="33" t="inlineStr">
        <is>
          <t>작업환경_조도</t>
        </is>
      </c>
      <c r="G443" s="34" t="inlineStr">
        <is>
          <t>산업안전보건법상 조도기준 및 조도기준 적용예외 작업장</t>
        </is>
      </c>
    </row>
    <row r="444" customFormat="1" s="30">
      <c r="A444" s="32" t="n">
        <v>40</v>
      </c>
      <c r="B444" s="143" t="n">
        <v>124</v>
      </c>
      <c r="C444" s="144" t="n">
        <v>1</v>
      </c>
      <c r="D444" s="39" t="n">
        <v>9</v>
      </c>
      <c r="E444" s="32" t="inlineStr">
        <is>
          <t>재해유형</t>
        </is>
      </c>
      <c r="F444" s="33" t="inlineStr">
        <is>
          <t>화재</t>
        </is>
      </c>
      <c r="G444" s="34" t="inlineStr">
        <is>
          <t>화재 위험작업시 준수 사항</t>
        </is>
      </c>
    </row>
    <row r="445" customFormat="1" s="30">
      <c r="A445" s="32" t="n">
        <v>41</v>
      </c>
      <c r="B445" s="143" t="n">
        <v>124</v>
      </c>
      <c r="C445" s="144" t="n">
        <v>1</v>
      </c>
      <c r="D445" s="39" t="n">
        <v>10</v>
      </c>
      <c r="E445" s="32" t="inlineStr">
        <is>
          <t>안전관리론</t>
        </is>
      </c>
      <c r="F445" s="33" t="inlineStr">
        <is>
          <t>안전관리이론</t>
        </is>
      </c>
      <c r="G445" s="34" t="inlineStr">
        <is>
          <t>등치성이론</t>
        </is>
      </c>
    </row>
    <row r="446" customFormat="1" s="30">
      <c r="A446" s="32" t="n">
        <v>42</v>
      </c>
      <c r="B446" s="143" t="n">
        <v>124</v>
      </c>
      <c r="C446" s="144" t="n">
        <v>1</v>
      </c>
      <c r="D446" s="39" t="n">
        <v>11</v>
      </c>
      <c r="E446" s="32" t="inlineStr">
        <is>
          <t>콘크리트</t>
        </is>
      </c>
      <c r="F446" s="33" t="inlineStr">
        <is>
          <t>균열과 열화</t>
        </is>
      </c>
      <c r="G446" s="34" t="inlineStr">
        <is>
          <t>온도균열</t>
        </is>
      </c>
    </row>
    <row r="447" customFormat="1" s="30">
      <c r="A447" s="32" t="n">
        <v>43</v>
      </c>
      <c r="B447" s="143" t="n">
        <v>124</v>
      </c>
      <c r="C447" s="144" t="n">
        <v>1</v>
      </c>
      <c r="D447" s="39" t="n">
        <v>12</v>
      </c>
      <c r="E447" s="32" t="inlineStr">
        <is>
          <t>건설기계</t>
        </is>
      </c>
      <c r="F447" s="33" t="inlineStr">
        <is>
          <t>이동식 크레인</t>
        </is>
      </c>
      <c r="G447" s="34" t="inlineStr">
        <is>
          <t>이동식 크레인 양중작업시 지반지지력에 대한 안전성 검토</t>
        </is>
      </c>
    </row>
    <row r="448" customFormat="1" s="30">
      <c r="A448" s="32" t="n">
        <v>44</v>
      </c>
      <c r="B448" s="143" t="n">
        <v>124</v>
      </c>
      <c r="C448" s="144" t="n">
        <v>1</v>
      </c>
      <c r="D448" s="39" t="n">
        <v>13</v>
      </c>
      <c r="E448" s="32" t="inlineStr">
        <is>
          <t>건진법</t>
        </is>
      </c>
      <c r="F448" s="33" t="inlineStr">
        <is>
          <t>안전관리계획서</t>
        </is>
      </c>
      <c r="G448" s="34" t="inlineStr">
        <is>
          <t>건설기술진흥법상 소규모 안전관리계획서 작성대상 사업과 작성내용</t>
        </is>
      </c>
    </row>
    <row r="449" customFormat="1" s="30">
      <c r="A449" s="32" t="n">
        <v>45</v>
      </c>
      <c r="B449" s="143" t="n">
        <v>124</v>
      </c>
      <c r="C449" s="144" t="n">
        <v>2</v>
      </c>
      <c r="D449" s="39" t="n">
        <v>1</v>
      </c>
      <c r="E449" s="32" t="inlineStr">
        <is>
          <t>산안법</t>
        </is>
      </c>
      <c r="F449" s="33" t="inlineStr">
        <is>
          <t>위험성 평가</t>
        </is>
      </c>
      <c r="G449" s="34" t="inlineStr">
        <is>
          <t>위험성평가 진행절차와 거푸집 동바리 공사의 위험성평가표에 대하여 설명하시오</t>
        </is>
      </c>
    </row>
    <row r="450" ht="33" customFormat="1" customHeight="1" s="30">
      <c r="A450" s="32" t="n">
        <v>46</v>
      </c>
      <c r="B450" s="143" t="n">
        <v>124</v>
      </c>
      <c r="C450" s="144" t="n">
        <v>2</v>
      </c>
      <c r="D450" s="39" t="n">
        <v>2</v>
      </c>
      <c r="E450" s="32" t="inlineStr">
        <is>
          <t>건진법</t>
        </is>
      </c>
      <c r="F450" s="33" t="inlineStr">
        <is>
          <t>스마트건설_안전교육활성화</t>
        </is>
      </c>
      <c r="G450" s="34" t="inlineStr">
        <is>
          <t>스마트 건설기술을 적용한 안전교육 활성화 방안과 설계 시공 단계별 스마트건설기술 적용방안에 대하여 설명하시오</t>
        </is>
      </c>
    </row>
    <row r="451" customFormat="1" s="30">
      <c r="A451" s="32" t="n">
        <v>47</v>
      </c>
      <c r="B451" s="143" t="n">
        <v>124</v>
      </c>
      <c r="C451" s="144" t="n">
        <v>2</v>
      </c>
      <c r="D451" s="39" t="n">
        <v>3</v>
      </c>
      <c r="E451" s="32" t="inlineStr">
        <is>
          <t>콘크리트</t>
        </is>
      </c>
      <c r="F451" s="33" t="inlineStr">
        <is>
          <t>거푸집_갱폼</t>
        </is>
      </c>
      <c r="G451" s="34" t="inlineStr">
        <is>
          <t>갱폼 현장 조립시 안전설비기준 및 설치 해체 시 안전대책에 대하여 설명하시오</t>
        </is>
      </c>
    </row>
    <row r="452" customFormat="1" s="30">
      <c r="A452" s="32" t="n">
        <v>48</v>
      </c>
      <c r="B452" s="143" t="n">
        <v>124</v>
      </c>
      <c r="C452" s="144" t="n">
        <v>2</v>
      </c>
      <c r="D452" s="39" t="n">
        <v>4</v>
      </c>
      <c r="E452" s="32" t="inlineStr">
        <is>
          <t>산안법</t>
        </is>
      </c>
      <c r="F452" s="33" t="inlineStr">
        <is>
          <t>안전관리활동</t>
        </is>
      </c>
      <c r="G452" s="34" t="inlineStr">
        <is>
          <t>건설현장에서 작업전, 작업중, 작업종료 전 , 작업종료 시의 단계별 안전관리 활동에 대하여 설명하시오</t>
        </is>
      </c>
    </row>
    <row r="453" customFormat="1" s="31">
      <c r="A453" s="32" t="n">
        <v>49</v>
      </c>
      <c r="B453" s="143" t="n">
        <v>124</v>
      </c>
      <c r="C453" s="144" t="n">
        <v>2</v>
      </c>
      <c r="D453" s="39" t="n">
        <v>5</v>
      </c>
      <c r="E453" s="32" t="inlineStr">
        <is>
          <t>콘크리트</t>
        </is>
      </c>
      <c r="F453" s="33" t="inlineStr">
        <is>
          <t>균열과 열화</t>
        </is>
      </c>
      <c r="G453" s="34" t="inlineStr">
        <is>
          <t>콘크리트 구조물의 복합열화 요인 및 저감대책에 대하여 설명하시오</t>
        </is>
      </c>
      <c r="H453" s="30" t="n"/>
      <c r="I453" s="30" t="n"/>
      <c r="J453" s="30" t="n"/>
      <c r="K453" s="30" t="n"/>
      <c r="L453" s="30" t="n"/>
      <c r="M453" s="30" t="n"/>
      <c r="N453" s="30" t="n"/>
      <c r="O453" s="30" t="n"/>
      <c r="P453" s="30" t="n"/>
    </row>
    <row r="454" customFormat="1" s="31">
      <c r="A454" s="32" t="n">
        <v>50</v>
      </c>
      <c r="B454" s="143" t="n">
        <v>124</v>
      </c>
      <c r="C454" s="144" t="n">
        <v>2</v>
      </c>
      <c r="D454" s="39" t="n">
        <v>6</v>
      </c>
      <c r="E454" s="32" t="inlineStr">
        <is>
          <t>안전관리론</t>
        </is>
      </c>
      <c r="F454" s="33" t="inlineStr">
        <is>
          <t>고령근로자</t>
        </is>
      </c>
      <c r="G454" s="34" t="inlineStr">
        <is>
          <t xml:space="preserve">건설현장의 고령 근로자 증가에 따른 문제점과 안전관리방안에 대하여 설명하시오 </t>
        </is>
      </c>
      <c r="H454" s="30" t="n"/>
      <c r="I454" s="30" t="n"/>
      <c r="J454" s="30" t="n"/>
      <c r="K454" s="30" t="n"/>
      <c r="L454" s="30" t="n"/>
      <c r="M454" s="30" t="n"/>
      <c r="N454" s="30" t="n"/>
      <c r="O454" s="30" t="n"/>
      <c r="P454" s="30" t="n"/>
    </row>
    <row r="455" customFormat="1" s="31">
      <c r="A455" s="32" t="n">
        <v>51</v>
      </c>
      <c r="B455" s="143" t="n">
        <v>124</v>
      </c>
      <c r="C455" s="144" t="n">
        <v>3</v>
      </c>
      <c r="D455" s="39" t="n">
        <v>1</v>
      </c>
      <c r="E455" s="32" t="inlineStr">
        <is>
          <t>가설공사</t>
        </is>
      </c>
      <c r="F455" s="33" t="inlineStr">
        <is>
          <t>낙하물방지망</t>
        </is>
      </c>
      <c r="G455" s="34" t="inlineStr">
        <is>
          <t>낙하물방지망 설치기준과 설치작업시 안전대책에 대하여 설명하시오</t>
        </is>
      </c>
      <c r="H455" s="30" t="n"/>
      <c r="I455" s="30" t="n"/>
      <c r="J455" s="30" t="n"/>
      <c r="K455" s="30" t="n"/>
      <c r="L455" s="30" t="n"/>
      <c r="M455" s="30" t="n"/>
      <c r="N455" s="30" t="n"/>
      <c r="O455" s="30" t="n"/>
      <c r="P455" s="30" t="n"/>
    </row>
    <row r="456" ht="33" customFormat="1" customHeight="1" s="31">
      <c r="A456" s="32" t="n">
        <v>52</v>
      </c>
      <c r="B456" s="143" t="n">
        <v>124</v>
      </c>
      <c r="C456" s="144" t="n">
        <v>3</v>
      </c>
      <c r="D456" s="39" t="n">
        <v>2</v>
      </c>
      <c r="E456" s="32" t="inlineStr">
        <is>
          <t>콘크리트</t>
        </is>
      </c>
      <c r="F456" s="33" t="inlineStr">
        <is>
          <t>거푸집 동바리</t>
        </is>
      </c>
      <c r="G456" s="34" t="inlineStr">
        <is>
          <t>계단형상으로 조립하는 거푸집 동바리 조립시 준수사항과 콘크리트 펌프카 작업시 유의사항에 대하여 설명하시오</t>
        </is>
      </c>
      <c r="H456" s="30" t="n"/>
      <c r="I456" s="30" t="n"/>
      <c r="J456" s="30" t="n"/>
      <c r="K456" s="30" t="n"/>
      <c r="L456" s="30" t="n"/>
      <c r="M456" s="30" t="n"/>
      <c r="N456" s="30" t="n"/>
      <c r="O456" s="30" t="n"/>
      <c r="P456" s="30" t="n"/>
    </row>
    <row r="457" ht="33" customFormat="1" customHeight="1" s="31">
      <c r="A457" s="32" t="n">
        <v>53</v>
      </c>
      <c r="B457" s="143" t="n">
        <v>124</v>
      </c>
      <c r="C457" s="144" t="n">
        <v>3</v>
      </c>
      <c r="D457" s="39" t="n">
        <v>3</v>
      </c>
      <c r="E457" s="32" t="inlineStr">
        <is>
          <t>산안법</t>
        </is>
      </c>
      <c r="F457" s="33" t="inlineStr">
        <is>
          <t>작업환경_소음</t>
        </is>
      </c>
      <c r="G457" s="34" t="inlineStr">
        <is>
          <t>도심지 도시철도 공사시 소음진동 발생작업종류, 작업장 내외 소음진동영향과 저감방안에 대하여 설명하시오</t>
        </is>
      </c>
      <c r="H457" s="30" t="n"/>
      <c r="I457" s="30" t="n"/>
      <c r="J457" s="30" t="n"/>
      <c r="K457" s="30" t="n"/>
      <c r="L457" s="30" t="n"/>
      <c r="M457" s="30" t="n"/>
      <c r="N457" s="30" t="n"/>
      <c r="O457" s="30" t="n"/>
      <c r="P457" s="30" t="n"/>
    </row>
    <row r="458" customFormat="1" s="31">
      <c r="A458" s="32" t="n">
        <v>54</v>
      </c>
      <c r="B458" s="143" t="n">
        <v>124</v>
      </c>
      <c r="C458" s="144" t="n">
        <v>3</v>
      </c>
      <c r="D458" s="39" t="n">
        <v>4</v>
      </c>
      <c r="E458" s="32" t="inlineStr">
        <is>
          <t>안전관리론</t>
        </is>
      </c>
      <c r="F458" s="33" t="inlineStr">
        <is>
          <t>재해조사 및 통계</t>
        </is>
      </c>
      <c r="G458" s="34" t="inlineStr">
        <is>
          <t>재해통계의 필요성과 종류, 분석방법 및 통계작성시 유의 사항에 대하여 설명하시오</t>
        </is>
      </c>
      <c r="H458" s="30" t="n"/>
      <c r="I458" s="30" t="n"/>
      <c r="J458" s="30" t="n"/>
      <c r="K458" s="30" t="n"/>
      <c r="L458" s="30" t="n"/>
      <c r="M458" s="30" t="n"/>
      <c r="N458" s="30" t="n"/>
      <c r="O458" s="30" t="n"/>
      <c r="P458" s="30" t="n"/>
    </row>
    <row r="459" customFormat="1" s="31">
      <c r="A459" s="32" t="n">
        <v>55</v>
      </c>
      <c r="B459" s="143" t="n">
        <v>124</v>
      </c>
      <c r="C459" s="144" t="n">
        <v>3</v>
      </c>
      <c r="D459" s="39" t="n">
        <v>5</v>
      </c>
      <c r="E459" s="32" t="inlineStr">
        <is>
          <t>토공</t>
        </is>
      </c>
      <c r="F459" s="33" t="inlineStr">
        <is>
          <t>사면안정</t>
        </is>
      </c>
      <c r="G459" s="34" t="inlineStr">
        <is>
          <t>도로공사시 사면 붕괴 형태 , 붕괴원인 및 사면 안정공법에 대하여 설명하시오</t>
        </is>
      </c>
      <c r="H459" s="30" t="n"/>
      <c r="I459" s="30" t="n"/>
      <c r="J459" s="30" t="n"/>
      <c r="K459" s="30" t="n"/>
      <c r="L459" s="30" t="n"/>
      <c r="M459" s="30" t="n"/>
      <c r="N459" s="30" t="n"/>
      <c r="O459" s="30" t="n"/>
      <c r="P459" s="30" t="n"/>
    </row>
    <row r="460" ht="33" customFormat="1" customHeight="1" s="31">
      <c r="A460" s="32" t="n">
        <v>56</v>
      </c>
      <c r="B460" s="143" t="n">
        <v>124</v>
      </c>
      <c r="C460" s="144" t="n">
        <v>3</v>
      </c>
      <c r="D460" s="39" t="n">
        <v>6</v>
      </c>
      <c r="E460" s="32" t="inlineStr">
        <is>
          <t>해체공사</t>
        </is>
      </c>
      <c r="F460" s="33" t="n"/>
      <c r="G460" s="34" t="inlineStr">
        <is>
          <t>압쇄장비를 이용한 해체공사시 사전검토사항과 해체시공계획서에 포함사항 및 해체시 안전관리 사항에 대하여 설명하시오</t>
        </is>
      </c>
      <c r="H460" s="30" t="n"/>
      <c r="I460" s="30" t="n"/>
      <c r="J460" s="30" t="n"/>
      <c r="K460" s="30" t="n"/>
      <c r="L460" s="30" t="n"/>
      <c r="M460" s="30" t="n"/>
      <c r="N460" s="30" t="n"/>
      <c r="O460" s="30" t="n"/>
      <c r="P460" s="30" t="n"/>
    </row>
    <row r="461" customFormat="1" s="31">
      <c r="A461" s="32" t="n">
        <v>57</v>
      </c>
      <c r="B461" s="143" t="n">
        <v>124</v>
      </c>
      <c r="C461" s="144" t="n">
        <v>4</v>
      </c>
      <c r="D461" s="39" t="n">
        <v>1</v>
      </c>
      <c r="E461" s="32" t="inlineStr">
        <is>
          <t>재해유형</t>
        </is>
      </c>
      <c r="F461" s="33" t="inlineStr">
        <is>
          <t>화재</t>
        </is>
      </c>
      <c r="G461" s="34" t="inlineStr">
        <is>
          <t>건설공사장 화재발생유형과 화재예방대책, 화재발생시 대피요령에 대하여 설명하시오</t>
        </is>
      </c>
      <c r="H461" s="30" t="n"/>
      <c r="I461" s="30" t="n"/>
      <c r="J461" s="30" t="n"/>
      <c r="K461" s="30" t="n"/>
      <c r="L461" s="30" t="n"/>
      <c r="M461" s="30" t="n"/>
      <c r="N461" s="30" t="n"/>
      <c r="O461" s="30" t="n"/>
      <c r="P461" s="30" t="n"/>
    </row>
    <row r="462" ht="33" customFormat="1" customHeight="1" s="31">
      <c r="A462" s="32" t="n">
        <v>58</v>
      </c>
      <c r="B462" s="143" t="n">
        <v>124</v>
      </c>
      <c r="C462" s="144" t="n">
        <v>4</v>
      </c>
      <c r="D462" s="39" t="n">
        <v>2</v>
      </c>
      <c r="E462" s="32" t="inlineStr">
        <is>
          <t>기초</t>
        </is>
      </c>
      <c r="F462" s="33" t="inlineStr">
        <is>
          <t>흙막이</t>
        </is>
      </c>
      <c r="G462" s="34" t="inlineStr">
        <is>
          <t>운행중인 도시철도와 근접하여 건축물 신축 시 흙막이공사의 계측관리계획과 관리기준 초과시 안전대책에 대하여 설명하시오</t>
        </is>
      </c>
      <c r="H462" s="30" t="n"/>
      <c r="I462" s="30" t="n"/>
      <c r="J462" s="30" t="n"/>
      <c r="K462" s="30" t="n"/>
      <c r="L462" s="30" t="n"/>
      <c r="M462" s="30" t="n"/>
      <c r="N462" s="30" t="n"/>
      <c r="O462" s="30" t="n"/>
      <c r="P462" s="30" t="n"/>
    </row>
    <row r="463" customFormat="1" s="31">
      <c r="A463" s="32" t="n">
        <v>59</v>
      </c>
      <c r="B463" s="143" t="n">
        <v>124</v>
      </c>
      <c r="C463" s="144" t="n">
        <v>4</v>
      </c>
      <c r="D463" s="39" t="n">
        <v>3</v>
      </c>
      <c r="E463" s="32" t="inlineStr">
        <is>
          <t>건설기계</t>
        </is>
      </c>
      <c r="F463" s="33" t="inlineStr">
        <is>
          <t>타워크레인</t>
        </is>
      </c>
      <c r="G463" s="34" t="inlineStr">
        <is>
          <t>타워크레인 재해유형 및 구성 부위별 안전검토사항과 조립해체시 유의사항에 대하여 설명하시오</t>
        </is>
      </c>
      <c r="H463" s="30" t="n"/>
      <c r="I463" s="30" t="n"/>
      <c r="J463" s="30" t="n"/>
      <c r="K463" s="30" t="n"/>
      <c r="L463" s="30" t="n"/>
      <c r="M463" s="30" t="n"/>
      <c r="N463" s="30" t="n"/>
      <c r="O463" s="30" t="n"/>
      <c r="P463" s="30" t="n"/>
    </row>
    <row r="464" ht="33" customFormat="1" customHeight="1" s="31">
      <c r="A464" s="32" t="n">
        <v>60</v>
      </c>
      <c r="B464" s="143" t="n">
        <v>124</v>
      </c>
      <c r="C464" s="144" t="n">
        <v>4</v>
      </c>
      <c r="D464" s="39" t="n">
        <v>4</v>
      </c>
      <c r="E464" s="32" t="inlineStr">
        <is>
          <t>강재</t>
        </is>
      </c>
      <c r="F464" s="33" t="inlineStr">
        <is>
          <t>용접 및 용단</t>
        </is>
      </c>
      <c r="G464" s="34" t="inlineStr">
        <is>
          <t>강구조물의 용접결함의 종류를 설명하고, 이를 확인하기 위한 비파괴검사 방법 및 용접시 안전대책에 대하여 설명하시오</t>
        </is>
      </c>
      <c r="H464" s="30" t="n"/>
      <c r="I464" s="30" t="n"/>
      <c r="J464" s="30" t="n"/>
      <c r="K464" s="30" t="n"/>
      <c r="L464" s="30" t="n"/>
      <c r="M464" s="30" t="n"/>
      <c r="N464" s="30" t="n"/>
      <c r="O464" s="30" t="n"/>
      <c r="P464" s="30" t="n"/>
    </row>
    <row r="465" ht="33" customFormat="1" customHeight="1" s="31">
      <c r="A465" s="32" t="n">
        <v>61</v>
      </c>
      <c r="B465" s="143" t="n">
        <v>124</v>
      </c>
      <c r="C465" s="144" t="n">
        <v>4</v>
      </c>
      <c r="D465" s="39" t="n">
        <v>5</v>
      </c>
      <c r="E465" s="32" t="inlineStr">
        <is>
          <t>시설물안전법</t>
        </is>
      </c>
      <c r="F465" s="33" t="inlineStr">
        <is>
          <t>안전점검</t>
        </is>
      </c>
      <c r="G465" s="34" t="inlineStr">
        <is>
          <t>공용중인 철근콘크리트 교량의 안전점검 및 정밀안전진단주기와 중대결함의 종류 보수보강시 작업자 안전대책에 대하여 설명하시오</t>
        </is>
      </c>
      <c r="H465" s="30" t="n"/>
      <c r="I465" s="30" t="n"/>
      <c r="J465" s="30" t="n"/>
      <c r="K465" s="30" t="n"/>
      <c r="L465" s="30" t="n"/>
      <c r="M465" s="30" t="n"/>
      <c r="N465" s="30" t="n"/>
      <c r="O465" s="30" t="n"/>
      <c r="P465" s="30" t="n"/>
    </row>
    <row r="466" customFormat="1" s="31">
      <c r="A466" s="32" t="n">
        <v>62</v>
      </c>
      <c r="B466" s="143" t="n">
        <v>124</v>
      </c>
      <c r="C466" s="144" t="n">
        <v>4</v>
      </c>
      <c r="D466" s="39" t="n">
        <v>6</v>
      </c>
      <c r="E466" s="32" t="inlineStr">
        <is>
          <t>가설공사</t>
        </is>
      </c>
      <c r="F466" s="33" t="inlineStr">
        <is>
          <t>강관비계</t>
        </is>
      </c>
      <c r="G466" s="34" t="inlineStr">
        <is>
          <t>강관비계의 설치기준과 조립해체시 안전대책에 대하여 대하여 설명하시오</t>
        </is>
      </c>
      <c r="H466" s="30" t="n"/>
      <c r="I466" s="30" t="n"/>
      <c r="J466" s="30" t="n"/>
      <c r="K466" s="30" t="n"/>
      <c r="L466" s="30" t="n"/>
      <c r="M466" s="30" t="n"/>
      <c r="N466" s="30" t="n"/>
      <c r="O466" s="30" t="n"/>
      <c r="P466" s="30" t="n"/>
    </row>
    <row r="467" customFormat="1" s="31">
      <c r="A467" s="32" t="n">
        <v>63</v>
      </c>
      <c r="B467" s="143" t="n">
        <v>123</v>
      </c>
      <c r="C467" s="144" t="n">
        <v>1</v>
      </c>
      <c r="D467" s="39" t="n">
        <v>1</v>
      </c>
      <c r="E467" s="32" t="inlineStr">
        <is>
          <t>건설기계</t>
        </is>
      </c>
      <c r="F467" s="33" t="inlineStr">
        <is>
          <t>항타기 항발기</t>
        </is>
      </c>
      <c r="G467" s="34" t="inlineStr">
        <is>
          <t>항타기 및 항발기 사용시 안전조치사항</t>
        </is>
      </c>
      <c r="H467" s="30" t="n"/>
      <c r="I467" s="30" t="n"/>
      <c r="J467" s="30" t="n"/>
      <c r="K467" s="30" t="n"/>
      <c r="L467" s="30" t="n"/>
      <c r="M467" s="30" t="n"/>
      <c r="N467" s="30" t="n"/>
      <c r="O467" s="30" t="n"/>
      <c r="P467" s="30" t="n"/>
    </row>
    <row r="468" customFormat="1" s="31">
      <c r="A468" s="32" t="n">
        <v>64</v>
      </c>
      <c r="B468" s="143" t="n">
        <v>123</v>
      </c>
      <c r="C468" s="144" t="n">
        <v>1</v>
      </c>
      <c r="D468" s="39" t="n">
        <v>2</v>
      </c>
      <c r="E468" s="32" t="inlineStr">
        <is>
          <t>산안법</t>
        </is>
      </c>
      <c r="F468" s="33" t="inlineStr">
        <is>
          <t>물질안전보건자료</t>
        </is>
      </c>
      <c r="G468" s="34" t="inlineStr">
        <is>
          <t>물질안전보건자료</t>
        </is>
      </c>
      <c r="H468" s="30" t="n"/>
      <c r="I468" s="30" t="n"/>
      <c r="J468" s="30" t="n"/>
      <c r="K468" s="30" t="n"/>
      <c r="L468" s="30" t="n"/>
      <c r="M468" s="30" t="n"/>
      <c r="N468" s="30" t="n"/>
      <c r="O468" s="30" t="n"/>
      <c r="P468" s="30" t="n"/>
    </row>
    <row r="469" customFormat="1" s="31">
      <c r="A469" s="32" t="n">
        <v>65</v>
      </c>
      <c r="B469" s="143" t="n">
        <v>123</v>
      </c>
      <c r="C469" s="144" t="n">
        <v>1</v>
      </c>
      <c r="D469" s="39" t="n">
        <v>3</v>
      </c>
      <c r="E469" s="32" t="inlineStr">
        <is>
          <t>산안법</t>
        </is>
      </c>
      <c r="F469" s="33" t="inlineStr">
        <is>
          <t>산업재해건수 공표</t>
        </is>
      </c>
      <c r="G469" s="34" t="inlineStr">
        <is>
          <t>산업안전보건법령상 산업재해 발생건수 등 공표대상</t>
        </is>
      </c>
      <c r="H469" s="30" t="n"/>
      <c r="I469" s="30" t="n"/>
      <c r="J469" s="30" t="n"/>
      <c r="K469" s="30" t="n"/>
      <c r="L469" s="30" t="n"/>
      <c r="M469" s="30" t="n"/>
      <c r="N469" s="30" t="n"/>
      <c r="O469" s="30" t="n"/>
      <c r="P469" s="30" t="n"/>
    </row>
    <row r="470" customFormat="1" s="31">
      <c r="A470" s="32" t="n">
        <v>66</v>
      </c>
      <c r="B470" s="143" t="n">
        <v>123</v>
      </c>
      <c r="C470" s="144" t="n">
        <v>1</v>
      </c>
      <c r="D470" s="39" t="n">
        <v>4</v>
      </c>
      <c r="E470" s="32" t="inlineStr">
        <is>
          <t>건진법</t>
        </is>
      </c>
      <c r="F470" s="33" t="inlineStr">
        <is>
          <t>DFS</t>
        </is>
      </c>
      <c r="G470" s="34" t="inlineStr">
        <is>
          <t>DFS(Design For Safety)</t>
        </is>
      </c>
      <c r="H470" s="30" t="n"/>
      <c r="I470" s="30" t="n"/>
      <c r="J470" s="30" t="n"/>
      <c r="K470" s="30" t="n"/>
      <c r="L470" s="30" t="n"/>
      <c r="M470" s="30" t="n"/>
      <c r="N470" s="30" t="n"/>
      <c r="O470" s="30" t="n"/>
      <c r="P470" s="30" t="n"/>
    </row>
    <row r="471" customFormat="1" s="31">
      <c r="A471" s="32" t="n">
        <v>67</v>
      </c>
      <c r="B471" s="143" t="n">
        <v>123</v>
      </c>
      <c r="C471" s="144" t="n">
        <v>1</v>
      </c>
      <c r="D471" s="39" t="n">
        <v>5</v>
      </c>
      <c r="E471" s="32" t="inlineStr">
        <is>
          <t>콘크리트</t>
        </is>
      </c>
      <c r="F471" s="33" t="inlineStr">
        <is>
          <t>비파괴시험 종류 방법</t>
        </is>
      </c>
      <c r="G471" s="34" t="inlineStr">
        <is>
          <t>콘크리트의 비파괴 시험</t>
        </is>
      </c>
      <c r="H471" s="30" t="n"/>
      <c r="I471" s="30" t="n"/>
      <c r="J471" s="30" t="n"/>
      <c r="K471" s="30" t="n"/>
      <c r="L471" s="30" t="n"/>
      <c r="M471" s="30" t="n"/>
      <c r="N471" s="30" t="n"/>
      <c r="O471" s="30" t="n"/>
      <c r="P471" s="30" t="n"/>
    </row>
    <row r="472" customFormat="1" s="31">
      <c r="A472" s="32" t="n">
        <v>68</v>
      </c>
      <c r="B472" s="143" t="n">
        <v>123</v>
      </c>
      <c r="C472" s="144" t="n">
        <v>1</v>
      </c>
      <c r="D472" s="39" t="n">
        <v>6</v>
      </c>
      <c r="E472" s="32" t="inlineStr">
        <is>
          <t>안전관리론</t>
        </is>
      </c>
      <c r="F472" s="33" t="inlineStr">
        <is>
          <t>무재해운동</t>
        </is>
      </c>
      <c r="G472" s="34" t="inlineStr">
        <is>
          <t>무재해운동 세부추진기법 중 5C 운동</t>
        </is>
      </c>
      <c r="H472" s="30" t="n"/>
      <c r="I472" s="30" t="n"/>
      <c r="J472" s="30" t="n"/>
      <c r="K472" s="30" t="n"/>
      <c r="L472" s="30" t="n"/>
      <c r="M472" s="30" t="n"/>
      <c r="N472" s="30" t="n"/>
      <c r="O472" s="30" t="n"/>
      <c r="P472" s="30" t="n"/>
    </row>
    <row r="473" customFormat="1" s="31">
      <c r="A473" s="32" t="n">
        <v>69</v>
      </c>
      <c r="B473" s="143" t="n">
        <v>123</v>
      </c>
      <c r="C473" s="144" t="n">
        <v>1</v>
      </c>
      <c r="D473" s="39" t="n">
        <v>7</v>
      </c>
      <c r="E473" s="32" t="inlineStr">
        <is>
          <t>산안법</t>
        </is>
      </c>
      <c r="F473" s="33" t="inlineStr">
        <is>
          <t>위험성 평가</t>
        </is>
      </c>
      <c r="G473" s="34" t="inlineStr">
        <is>
          <t>산업안전보건법에 따른 위험성 평가의 절차</t>
        </is>
      </c>
      <c r="H473" s="30" t="n"/>
      <c r="I473" s="30" t="n"/>
      <c r="J473" s="30" t="n"/>
      <c r="K473" s="30" t="n"/>
      <c r="L473" s="30" t="n"/>
      <c r="M473" s="30" t="n"/>
      <c r="N473" s="30" t="n"/>
      <c r="O473" s="30" t="n"/>
      <c r="P473" s="30" t="n"/>
    </row>
    <row r="474" customFormat="1" s="31">
      <c r="A474" s="32" t="n">
        <v>70</v>
      </c>
      <c r="B474" s="143" t="n">
        <v>123</v>
      </c>
      <c r="C474" s="144" t="n">
        <v>1</v>
      </c>
      <c r="D474" s="39" t="n">
        <v>8</v>
      </c>
      <c r="E474" s="32" t="inlineStr">
        <is>
          <t>산안법</t>
        </is>
      </c>
      <c r="F474" s="33" t="inlineStr">
        <is>
          <t>중대재해</t>
        </is>
      </c>
      <c r="G474" s="34" t="inlineStr">
        <is>
          <t>산업재해 발생시 조치사항 및 처리절차</t>
        </is>
      </c>
      <c r="H474" s="30" t="n"/>
      <c r="I474" s="30" t="n"/>
      <c r="J474" s="30" t="n"/>
      <c r="K474" s="30" t="n"/>
      <c r="L474" s="30" t="n"/>
      <c r="M474" s="30" t="n"/>
      <c r="N474" s="30" t="n"/>
      <c r="O474" s="30" t="n"/>
      <c r="P474" s="30" t="n"/>
    </row>
    <row r="475" customFormat="1" s="31">
      <c r="A475" s="32" t="n">
        <v>71</v>
      </c>
      <c r="B475" s="143" t="n">
        <v>123</v>
      </c>
      <c r="C475" s="144" t="n">
        <v>1</v>
      </c>
      <c r="D475" s="39" t="n">
        <v>9</v>
      </c>
      <c r="E475" s="32" t="inlineStr">
        <is>
          <t>안전관리론</t>
        </is>
      </c>
      <c r="F475" s="33" t="inlineStr">
        <is>
          <t>안전교육</t>
        </is>
      </c>
      <c r="G475" s="34" t="inlineStr">
        <is>
          <t>학습목표와 학습지도</t>
        </is>
      </c>
      <c r="H475" s="30" t="n"/>
      <c r="I475" s="30" t="n"/>
      <c r="J475" s="30" t="n"/>
      <c r="K475" s="30" t="n"/>
      <c r="L475" s="30" t="n"/>
      <c r="M475" s="30" t="n"/>
      <c r="N475" s="30" t="n"/>
      <c r="O475" s="30" t="n"/>
      <c r="P475" s="30" t="n"/>
    </row>
    <row r="476" customFormat="1" s="31">
      <c r="A476" s="32" t="n">
        <v>72</v>
      </c>
      <c r="B476" s="143" t="n">
        <v>123</v>
      </c>
      <c r="C476" s="144" t="n">
        <v>1</v>
      </c>
      <c r="D476" s="39" t="n">
        <v>10</v>
      </c>
      <c r="E476" s="32" t="inlineStr">
        <is>
          <t>안전관리론</t>
        </is>
      </c>
      <c r="F476" s="33" t="inlineStr">
        <is>
          <t>안전교육</t>
        </is>
      </c>
      <c r="G476" s="34" t="inlineStr">
        <is>
          <t>플립러닝(Flipped Learning)</t>
        </is>
      </c>
      <c r="H476" s="30" t="n"/>
      <c r="I476" s="30" t="n"/>
      <c r="J476" s="30" t="n"/>
      <c r="K476" s="30" t="n"/>
      <c r="L476" s="30" t="n"/>
      <c r="M476" s="30" t="n"/>
      <c r="N476" s="30" t="n"/>
      <c r="O476" s="30" t="n"/>
      <c r="P476" s="30" t="n"/>
    </row>
    <row r="477" customFormat="1" s="31">
      <c r="A477" s="32" t="n">
        <v>73</v>
      </c>
      <c r="B477" s="143" t="n">
        <v>123</v>
      </c>
      <c r="C477" s="144" t="n">
        <v>1</v>
      </c>
      <c r="D477" s="39" t="n">
        <v>11</v>
      </c>
      <c r="E477" s="32" t="inlineStr">
        <is>
          <t>안전관리론</t>
        </is>
      </c>
      <c r="F477" s="33" t="inlineStr">
        <is>
          <t>안전심리_어둠의3요인</t>
        </is>
      </c>
      <c r="G477" s="34" t="inlineStr">
        <is>
          <t>산업심리에서 어둠의 3요인</t>
        </is>
      </c>
      <c r="H477" s="30" t="n"/>
      <c r="I477" s="30" t="n"/>
      <c r="J477" s="30" t="n"/>
      <c r="K477" s="30" t="n"/>
      <c r="L477" s="30" t="n"/>
      <c r="M477" s="30" t="n"/>
      <c r="N477" s="30" t="n"/>
      <c r="O477" s="30" t="n"/>
      <c r="P477" s="30" t="n"/>
    </row>
    <row r="478" customFormat="1" s="31">
      <c r="A478" s="32" t="n">
        <v>74</v>
      </c>
      <c r="B478" s="143" t="n">
        <v>123</v>
      </c>
      <c r="C478" s="144" t="n">
        <v>1</v>
      </c>
      <c r="D478" s="39" t="n">
        <v>12</v>
      </c>
      <c r="E478" s="32" t="inlineStr">
        <is>
          <t>철골</t>
        </is>
      </c>
      <c r="F478" s="33" t="inlineStr">
        <is>
          <t>내화피복</t>
        </is>
      </c>
      <c r="G478" s="34" t="inlineStr">
        <is>
          <t>철골구조물의 내화 피복</t>
        </is>
      </c>
      <c r="H478" s="30" t="n"/>
      <c r="I478" s="30" t="n"/>
      <c r="J478" s="30" t="n"/>
      <c r="K478" s="30" t="n"/>
      <c r="L478" s="30" t="n"/>
      <c r="M478" s="30" t="n"/>
      <c r="N478" s="30" t="n"/>
      <c r="O478" s="30" t="n"/>
      <c r="P478" s="30" t="n"/>
    </row>
    <row r="479" customFormat="1" s="31">
      <c r="A479" s="32" t="n">
        <v>75</v>
      </c>
      <c r="B479" s="143" t="n">
        <v>123</v>
      </c>
      <c r="C479" s="144" t="n">
        <v>1</v>
      </c>
      <c r="D479" s="39" t="n">
        <v>13</v>
      </c>
      <c r="E479" s="32" t="inlineStr">
        <is>
          <t>콘크리트</t>
        </is>
      </c>
      <c r="F479" s="33" t="inlineStr">
        <is>
          <t>감수제</t>
        </is>
      </c>
      <c r="G479" s="34" t="inlineStr">
        <is>
          <t>콘크리트에서 사용하는 감수제의 효과</t>
        </is>
      </c>
      <c r="H479" s="30" t="n"/>
      <c r="I479" s="30" t="n"/>
      <c r="J479" s="30" t="n"/>
      <c r="K479" s="30" t="n"/>
      <c r="L479" s="30" t="n"/>
      <c r="M479" s="30" t="n"/>
      <c r="N479" s="30" t="n"/>
      <c r="O479" s="30" t="n"/>
      <c r="P479" s="30" t="n"/>
    </row>
    <row r="480" customFormat="1" s="31">
      <c r="A480" s="32" t="n">
        <v>76</v>
      </c>
      <c r="B480" s="143" t="n">
        <v>123</v>
      </c>
      <c r="C480" s="144" t="n">
        <v>2</v>
      </c>
      <c r="D480" s="39" t="n">
        <v>1</v>
      </c>
      <c r="E480" s="32" t="inlineStr">
        <is>
          <t>콘크리트</t>
        </is>
      </c>
      <c r="F480" s="33" t="inlineStr">
        <is>
          <t>거푸집 동바리</t>
        </is>
      </c>
      <c r="G480" s="34" t="inlineStr">
        <is>
          <t>건설현장에서 콘크리트 타설 중 거푸집 동바리의 중대재해 원인 및 안전대책에 대하여 설명하시오</t>
        </is>
      </c>
      <c r="H480" s="30" t="n"/>
      <c r="I480" s="30" t="n"/>
      <c r="J480" s="30" t="n"/>
      <c r="K480" s="30" t="n"/>
      <c r="L480" s="30" t="n"/>
      <c r="M480" s="30" t="n"/>
      <c r="N480" s="30" t="n"/>
      <c r="O480" s="30" t="n"/>
      <c r="P480" s="30" t="n"/>
    </row>
    <row r="481" ht="49.5" customFormat="1" customHeight="1" s="31">
      <c r="A481" s="32" t="n">
        <v>77</v>
      </c>
      <c r="B481" s="143" t="n">
        <v>123</v>
      </c>
      <c r="C481" s="144" t="n">
        <v>2</v>
      </c>
      <c r="D481" s="39" t="n">
        <v>2</v>
      </c>
      <c r="E481" s="32" t="inlineStr">
        <is>
          <t>산안법</t>
        </is>
      </c>
      <c r="F481" s="33" t="inlineStr">
        <is>
          <t>설계변경요청</t>
        </is>
      </c>
      <c r="G481" s="34" t="inlineStr">
        <is>
          <t>건설공사 중에 가설구조물의 붕괴 등으로 산업재해가 발생할 위험이 있을 때 건설공사 발주자에게 설계변경을 요청하는 
대상(산업안전보건법 제71조), 전문가 범위 및 설계변경 요청 시 첨부서류를 설명하시오</t>
        </is>
      </c>
      <c r="H481" s="30" t="n"/>
      <c r="I481" s="30" t="n"/>
      <c r="J481" s="30" t="n"/>
      <c r="K481" s="30" t="n"/>
      <c r="L481" s="30" t="n"/>
      <c r="M481" s="30" t="n"/>
      <c r="N481" s="30" t="n"/>
      <c r="O481" s="30" t="n"/>
      <c r="P481" s="30" t="n"/>
    </row>
    <row r="482" customFormat="1" s="31">
      <c r="A482" s="32" t="n">
        <v>78</v>
      </c>
      <c r="B482" s="143" t="n">
        <v>123</v>
      </c>
      <c r="C482" s="144" t="n">
        <v>2</v>
      </c>
      <c r="D482" s="39" t="n">
        <v>3</v>
      </c>
      <c r="E482" s="32" t="inlineStr">
        <is>
          <t>안전관리론</t>
        </is>
      </c>
      <c r="F482" s="33" t="inlineStr">
        <is>
          <t>인간공학</t>
        </is>
      </c>
      <c r="G482" s="34" t="inlineStr">
        <is>
          <t>인간과오(Human Error)의 배후 요인 및 예방대책에 대하여 설명하시오</t>
        </is>
      </c>
      <c r="H482" s="30" t="n"/>
      <c r="I482" s="30" t="n"/>
      <c r="J482" s="30" t="n"/>
      <c r="K482" s="30" t="n"/>
      <c r="L482" s="30" t="n"/>
      <c r="M482" s="30" t="n"/>
      <c r="N482" s="30" t="n"/>
      <c r="O482" s="30" t="n"/>
      <c r="P482" s="30" t="n"/>
    </row>
    <row r="483" customFormat="1" s="31">
      <c r="A483" s="32" t="n">
        <v>79</v>
      </c>
      <c r="B483" s="143" t="n">
        <v>123</v>
      </c>
      <c r="C483" s="144" t="n">
        <v>2</v>
      </c>
      <c r="D483" s="39" t="n">
        <v>4</v>
      </c>
      <c r="E483" s="32" t="inlineStr">
        <is>
          <t>건설기계</t>
        </is>
      </c>
      <c r="F483" s="33" t="inlineStr">
        <is>
          <t>지게차</t>
        </is>
      </c>
      <c r="G483" s="34" t="inlineStr">
        <is>
          <t>지게차의 운전자격 기준 및 지게차 운전원 안전교육에 대하여 설명하시오</t>
        </is>
      </c>
      <c r="H483" s="30" t="n"/>
      <c r="I483" s="30" t="n"/>
      <c r="J483" s="30" t="n"/>
      <c r="K483" s="30" t="n"/>
      <c r="L483" s="30" t="n"/>
      <c r="M483" s="30" t="n"/>
      <c r="N483" s="30" t="n"/>
      <c r="O483" s="30" t="n"/>
      <c r="P483" s="30" t="n"/>
    </row>
    <row r="484" customFormat="1" s="31">
      <c r="A484" s="32" t="n">
        <v>80</v>
      </c>
      <c r="B484" s="143" t="n">
        <v>123</v>
      </c>
      <c r="C484" s="144" t="n">
        <v>2</v>
      </c>
      <c r="D484" s="39" t="n">
        <v>5</v>
      </c>
      <c r="E484" s="32" t="inlineStr">
        <is>
          <t>가설공사</t>
        </is>
      </c>
      <c r="F484" s="33" t="inlineStr">
        <is>
          <t>시스템 동바리</t>
        </is>
      </c>
      <c r="G484" s="34" t="inlineStr">
        <is>
          <t>가설공사 중 시스템 동바리의 설치 및 해체시 준수사항에 대하여 설명하시오</t>
        </is>
      </c>
      <c r="H484" s="30" t="n"/>
      <c r="I484" s="30" t="n"/>
      <c r="J484" s="30" t="n"/>
      <c r="K484" s="30" t="n"/>
      <c r="L484" s="30" t="n"/>
      <c r="M484" s="30" t="n"/>
      <c r="N484" s="30" t="n"/>
      <c r="O484" s="30" t="n"/>
      <c r="P484" s="30" t="n"/>
    </row>
    <row r="485" customFormat="1" s="31">
      <c r="A485" s="32" t="n">
        <v>81</v>
      </c>
      <c r="B485" s="143" t="n">
        <v>123</v>
      </c>
      <c r="C485" s="144" t="n">
        <v>2</v>
      </c>
      <c r="D485" s="39" t="n">
        <v>6</v>
      </c>
      <c r="E485" s="32" t="inlineStr">
        <is>
          <t>해체공사</t>
        </is>
      </c>
      <c r="F485" s="33" t="n"/>
      <c r="G485" s="34" t="inlineStr">
        <is>
          <t>구조물의 해체공사를 위한 공법의 종류 및 작업상의 안전대책에 대하여 설명하시오</t>
        </is>
      </c>
      <c r="H485" s="30" t="n"/>
      <c r="I485" s="30" t="n"/>
      <c r="J485" s="30" t="n"/>
      <c r="K485" s="30" t="n"/>
      <c r="L485" s="30" t="n"/>
      <c r="M485" s="30" t="n"/>
      <c r="N485" s="30" t="n"/>
      <c r="O485" s="30" t="n"/>
      <c r="P485" s="30" t="n"/>
    </row>
    <row r="486" customFormat="1" s="31">
      <c r="A486" s="32" t="n">
        <v>82</v>
      </c>
      <c r="B486" s="143" t="n">
        <v>123</v>
      </c>
      <c r="C486" s="144" t="n">
        <v>3</v>
      </c>
      <c r="D486" s="39" t="n">
        <v>1</v>
      </c>
      <c r="E486" s="32" t="inlineStr">
        <is>
          <t>산안법</t>
        </is>
      </c>
      <c r="F486" s="33" t="inlineStr">
        <is>
          <t>화재감시자</t>
        </is>
      </c>
      <c r="G486" s="34" t="inlineStr">
        <is>
          <t>건설현장에서 화재감시자 배치기준과 화재위험작업시 준수사항에 대하여 설명하시오</t>
        </is>
      </c>
      <c r="H486" s="30" t="n"/>
      <c r="I486" s="30" t="n"/>
      <c r="J486" s="30" t="n"/>
      <c r="K486" s="30" t="n"/>
      <c r="L486" s="30" t="n"/>
      <c r="M486" s="30" t="n"/>
      <c r="N486" s="30" t="n"/>
      <c r="O486" s="30" t="n"/>
      <c r="P486" s="30" t="n"/>
    </row>
    <row r="487" customFormat="1" s="31">
      <c r="A487" s="32" t="n">
        <v>83</v>
      </c>
      <c r="B487" s="143" t="n">
        <v>123</v>
      </c>
      <c r="C487" s="144" t="n">
        <v>3</v>
      </c>
      <c r="D487" s="39" t="n">
        <v>2</v>
      </c>
      <c r="E487" s="32" t="inlineStr">
        <is>
          <t>토공</t>
        </is>
      </c>
      <c r="F487" s="33" t="inlineStr">
        <is>
          <t>사면안정</t>
        </is>
      </c>
      <c r="G487" s="34" t="inlineStr">
        <is>
          <t>절토사면의 낙석대책을 위한 보강공법과 방호공법의 종류 및 특징에 대하여 설명하시오</t>
        </is>
      </c>
      <c r="H487" s="30" t="n"/>
      <c r="I487" s="30" t="n"/>
      <c r="J487" s="30" t="n"/>
      <c r="K487" s="30" t="n"/>
      <c r="L487" s="30" t="n"/>
      <c r="M487" s="30" t="n"/>
      <c r="N487" s="30" t="n"/>
      <c r="O487" s="30" t="n"/>
      <c r="P487" s="30" t="n"/>
    </row>
    <row r="488" customFormat="1" s="31">
      <c r="A488" s="32" t="n">
        <v>84</v>
      </c>
      <c r="B488" s="143" t="n">
        <v>123</v>
      </c>
      <c r="C488" s="144" t="n">
        <v>3</v>
      </c>
      <c r="D488" s="39" t="n">
        <v>3</v>
      </c>
      <c r="E488" s="32" t="inlineStr">
        <is>
          <t>산안법</t>
        </is>
      </c>
      <c r="F488" s="33" t="inlineStr">
        <is>
          <t>안전보건교육</t>
        </is>
      </c>
      <c r="G488" s="34" t="inlineStr">
        <is>
          <t>건설현장 근로자에게 실시하여 할 안전보건교육의 종류 및 교육내용에 대하여 설명하시오</t>
        </is>
      </c>
      <c r="H488" s="30" t="n"/>
      <c r="I488" s="30" t="n"/>
      <c r="J488" s="30" t="n"/>
      <c r="K488" s="30" t="n"/>
      <c r="L488" s="30" t="n"/>
      <c r="M488" s="30" t="n"/>
      <c r="N488" s="30" t="n"/>
      <c r="O488" s="30" t="n"/>
      <c r="P488" s="30" t="n"/>
    </row>
    <row r="489" customFormat="1" s="31">
      <c r="A489" s="32" t="n">
        <v>85</v>
      </c>
      <c r="B489" s="143" t="n">
        <v>123</v>
      </c>
      <c r="C489" s="144" t="n">
        <v>3</v>
      </c>
      <c r="D489" s="39" t="n">
        <v>4</v>
      </c>
      <c r="E489" s="32" t="inlineStr">
        <is>
          <t>안전관리론</t>
        </is>
      </c>
      <c r="F489" s="33" t="inlineStr">
        <is>
          <t>안전심리_RMR</t>
        </is>
      </c>
      <c r="G489" s="34" t="inlineStr">
        <is>
          <t>인간의 작업강도에 따른 에너지 대사율(RMR)을 구분하고, 작업 중 부주의에 대하여 설명하시오</t>
        </is>
      </c>
      <c r="H489" s="30" t="n"/>
      <c r="I489" s="30" t="n"/>
      <c r="J489" s="30" t="n"/>
      <c r="K489" s="30" t="n"/>
      <c r="L489" s="30" t="n"/>
      <c r="M489" s="30" t="n"/>
      <c r="N489" s="30" t="n"/>
      <c r="O489" s="30" t="n"/>
      <c r="P489" s="30" t="n"/>
    </row>
    <row r="490" customFormat="1" s="31">
      <c r="A490" s="32" t="n">
        <v>86</v>
      </c>
      <c r="B490" s="143" t="n">
        <v>123</v>
      </c>
      <c r="C490" s="144" t="n">
        <v>3</v>
      </c>
      <c r="D490" s="39" t="n">
        <v>5</v>
      </c>
      <c r="E490" s="32" t="inlineStr">
        <is>
          <t>건설기계</t>
        </is>
      </c>
      <c r="F490" s="33" t="inlineStr">
        <is>
          <t>타워크레인</t>
        </is>
      </c>
      <c r="G490" s="34" t="inlineStr">
        <is>
          <t>건설 공사용 타워크레인의 종류별 특징과 기초방식에 따른 전도방지대책에 대하여 설명하시오</t>
        </is>
      </c>
      <c r="H490" s="30" t="n"/>
      <c r="I490" s="30" t="n"/>
      <c r="J490" s="30" t="n"/>
      <c r="K490" s="30" t="n"/>
      <c r="L490" s="30" t="n"/>
      <c r="M490" s="30" t="n"/>
      <c r="N490" s="30" t="n"/>
      <c r="O490" s="30" t="n"/>
      <c r="P490" s="30" t="n"/>
    </row>
    <row r="491" ht="33" customFormat="1" customHeight="1" s="31">
      <c r="A491" s="32" t="n">
        <v>87</v>
      </c>
      <c r="B491" s="143" t="n">
        <v>123</v>
      </c>
      <c r="C491" s="144" t="n">
        <v>3</v>
      </c>
      <c r="D491" s="39" t="n">
        <v>6</v>
      </c>
      <c r="E491" s="32" t="inlineStr">
        <is>
          <t>기초</t>
        </is>
      </c>
      <c r="F491" s="33" t="inlineStr">
        <is>
          <t>흙막이</t>
        </is>
      </c>
      <c r="G491" s="34" t="inlineStr">
        <is>
          <t>건설현장의 지하굴착공사 시 흙막이 가시설공법의 특징(H-Pile+토류판, 어스앵커공법)시공단계별 사고유형 및 안전대책에 대하여 기술하시오</t>
        </is>
      </c>
      <c r="H491" s="30" t="n"/>
      <c r="I491" s="30" t="n"/>
      <c r="J491" s="30" t="n"/>
      <c r="K491" s="30" t="n"/>
      <c r="L491" s="30" t="n"/>
      <c r="M491" s="30" t="n"/>
      <c r="N491" s="30" t="n"/>
      <c r="O491" s="30" t="n"/>
      <c r="P491" s="30" t="n"/>
    </row>
    <row r="492" customFormat="1" s="31">
      <c r="A492" s="32" t="n">
        <v>88</v>
      </c>
      <c r="B492" s="143" t="n">
        <v>123</v>
      </c>
      <c r="C492" s="144" t="n">
        <v>4</v>
      </c>
      <c r="D492" s="39" t="n">
        <v>1</v>
      </c>
      <c r="E492" s="32" t="inlineStr">
        <is>
          <t>산안법</t>
        </is>
      </c>
      <c r="F492" s="33" t="inlineStr">
        <is>
          <t>밀폐공간</t>
        </is>
      </c>
      <c r="G492" s="34" t="inlineStr">
        <is>
          <t>밀폐공간 작업 시 안전작업절차, 안전점검사항 및 관리감독자의 업무에 대하여 설명하시오</t>
        </is>
      </c>
      <c r="H492" s="30" t="n"/>
      <c r="I492" s="30" t="n"/>
      <c r="J492" s="30" t="n"/>
      <c r="K492" s="30" t="n"/>
      <c r="L492" s="30" t="n"/>
      <c r="M492" s="30" t="n"/>
      <c r="N492" s="30" t="n"/>
      <c r="O492" s="30" t="n"/>
      <c r="P492" s="30" t="n"/>
    </row>
    <row r="493" customFormat="1" s="31">
      <c r="A493" s="32" t="n">
        <v>89</v>
      </c>
      <c r="B493" s="143" t="n">
        <v>123</v>
      </c>
      <c r="C493" s="144" t="n">
        <v>4</v>
      </c>
      <c r="D493" s="39" t="n">
        <v>2</v>
      </c>
      <c r="E493" s="32" t="inlineStr">
        <is>
          <t>토공</t>
        </is>
      </c>
      <c r="F493" s="33" t="inlineStr">
        <is>
          <t>발파</t>
        </is>
      </c>
      <c r="G493" s="34" t="inlineStr">
        <is>
          <t>전기식 뇌관과 비전기식 뇌관의 특성 및 발파현장에서 화약류 취급 시 유의사항에 대하여 설명하시오</t>
        </is>
      </c>
      <c r="H493" s="30" t="n"/>
      <c r="I493" s="30" t="n"/>
      <c r="J493" s="30" t="n"/>
      <c r="K493" s="30" t="n"/>
      <c r="L493" s="30" t="n"/>
      <c r="M493" s="30" t="n"/>
      <c r="N493" s="30" t="n"/>
      <c r="O493" s="30" t="n"/>
      <c r="P493" s="30" t="n"/>
    </row>
    <row r="494" customFormat="1" s="31">
      <c r="A494" s="32" t="n">
        <v>90</v>
      </c>
      <c r="B494" s="143" t="n">
        <v>123</v>
      </c>
      <c r="C494" s="144" t="n">
        <v>4</v>
      </c>
      <c r="D494" s="39" t="n">
        <v>3</v>
      </c>
      <c r="E494" s="32" t="inlineStr">
        <is>
          <t>산안법</t>
        </is>
      </c>
      <c r="F494" s="33" t="inlineStr">
        <is>
          <t>건설재해예방기술지도</t>
        </is>
      </c>
      <c r="G494" s="34" t="inlineStr">
        <is>
          <t>건설재해예방전문지도기관의 인력, 시설 및 장비 등의 요건, 기술지도 업무 및 횟수에 대하여 설명하시오</t>
        </is>
      </c>
      <c r="H494" s="30" t="n"/>
      <c r="I494" s="30" t="n"/>
      <c r="J494" s="30" t="n"/>
      <c r="K494" s="30" t="n"/>
      <c r="L494" s="30" t="n"/>
      <c r="M494" s="30" t="n"/>
      <c r="N494" s="30" t="n"/>
      <c r="O494" s="30" t="n"/>
      <c r="P494" s="30" t="n"/>
    </row>
    <row r="495" ht="33" customFormat="1" customHeight="1" s="31">
      <c r="A495" s="32" t="n">
        <v>91</v>
      </c>
      <c r="B495" s="143" t="n">
        <v>123</v>
      </c>
      <c r="C495" s="144" t="n">
        <v>4</v>
      </c>
      <c r="D495" s="39" t="n">
        <v>4</v>
      </c>
      <c r="E495" s="32" t="inlineStr">
        <is>
          <t>건설기계</t>
        </is>
      </c>
      <c r="F495" s="33" t="inlineStr">
        <is>
          <t>안전검사</t>
        </is>
      </c>
      <c r="G495" s="34" t="inlineStr">
        <is>
          <t>건설현장에서 사용하는 안전검사대상기계등의 종류, 안전검사의 신청 및 안전검사 주기에 대하여 설명하시오</t>
        </is>
      </c>
      <c r="H495" s="30" t="n"/>
      <c r="I495" s="30" t="n"/>
      <c r="J495" s="30" t="n"/>
      <c r="K495" s="30" t="n"/>
      <c r="L495" s="30" t="n"/>
      <c r="M495" s="30" t="n"/>
      <c r="N495" s="30" t="n"/>
      <c r="O495" s="30" t="n"/>
      <c r="P495" s="30" t="n"/>
    </row>
    <row r="496" ht="33" customFormat="1" customHeight="1" s="31">
      <c r="A496" s="32" t="n">
        <v>92</v>
      </c>
      <c r="B496" s="143" t="n">
        <v>123</v>
      </c>
      <c r="C496" s="144" t="n">
        <v>4</v>
      </c>
      <c r="D496" s="39" t="n">
        <v>5</v>
      </c>
      <c r="E496" s="32" t="inlineStr">
        <is>
          <t>제방 댐 항만</t>
        </is>
      </c>
      <c r="F496" s="33" t="inlineStr">
        <is>
          <t>상수도</t>
        </is>
      </c>
      <c r="G496" s="34" t="inlineStr">
        <is>
          <t>상수도 매설공사의 지중매설관로에서 발생할수 있는 금속강관의 부식 원인 및 방지대책에 대하여 설명하시오</t>
        </is>
      </c>
      <c r="H496" s="30" t="n"/>
      <c r="I496" s="30" t="n"/>
      <c r="J496" s="30" t="n"/>
      <c r="K496" s="30" t="n"/>
      <c r="L496" s="30" t="n"/>
      <c r="M496" s="30" t="n"/>
      <c r="N496" s="30" t="n"/>
      <c r="O496" s="30" t="n"/>
      <c r="P496" s="30" t="n"/>
    </row>
    <row r="497" ht="33" customFormat="1" customHeight="1" s="31">
      <c r="A497" s="32" t="n">
        <v>93</v>
      </c>
      <c r="B497" s="143" t="n">
        <v>123</v>
      </c>
      <c r="C497" s="144" t="n">
        <v>4</v>
      </c>
      <c r="D497" s="39" t="n">
        <v>6</v>
      </c>
      <c r="E497" s="32" t="inlineStr">
        <is>
          <t>시설물안전법</t>
        </is>
      </c>
      <c r="F497" s="33" t="inlineStr">
        <is>
          <t>안전점검</t>
        </is>
      </c>
      <c r="G497" s="34" t="inlineStr">
        <is>
          <t>철근콘크리트 구조 건축물의 경과연수에 따른 성능저하 원인, 보수,보강공법의 시공방법과 안전대책에 대하여 설명하시오</t>
        </is>
      </c>
      <c r="H497" s="30" t="n"/>
      <c r="I497" s="30" t="n"/>
      <c r="J497" s="30" t="n"/>
      <c r="K497" s="30" t="n"/>
      <c r="L497" s="30" t="n"/>
      <c r="M497" s="30" t="n"/>
      <c r="N497" s="30" t="n"/>
      <c r="O497" s="30" t="n"/>
      <c r="P497" s="30" t="n"/>
    </row>
    <row r="498" customFormat="1" s="31">
      <c r="A498" s="32" t="n">
        <v>94</v>
      </c>
      <c r="B498" s="143" t="n">
        <v>122</v>
      </c>
      <c r="C498" s="144" t="n">
        <v>1</v>
      </c>
      <c r="D498" s="39" t="n">
        <v>1</v>
      </c>
      <c r="E498" s="32" t="inlineStr">
        <is>
          <t>안전관리론</t>
        </is>
      </c>
      <c r="F498" s="33" t="inlineStr">
        <is>
          <t>인간공학</t>
        </is>
      </c>
      <c r="G498" s="34" t="inlineStr">
        <is>
          <t>Man_Machine System의 기본기능</t>
        </is>
      </c>
      <c r="H498" s="30" t="n"/>
      <c r="I498" s="30" t="n"/>
      <c r="J498" s="30" t="n"/>
      <c r="K498" s="30" t="n"/>
      <c r="L498" s="30" t="n"/>
      <c r="M498" s="30" t="n"/>
      <c r="N498" s="30" t="n"/>
      <c r="O498" s="30" t="n"/>
      <c r="P498" s="30" t="n"/>
    </row>
    <row r="499" customFormat="1" s="31">
      <c r="A499" s="32" t="n">
        <v>95</v>
      </c>
      <c r="B499" s="143" t="n">
        <v>122</v>
      </c>
      <c r="C499" s="144" t="n">
        <v>1</v>
      </c>
      <c r="D499" s="39" t="n">
        <v>2</v>
      </c>
      <c r="E499" s="32" t="inlineStr">
        <is>
          <t>안전관리론</t>
        </is>
      </c>
      <c r="F499" s="33" t="inlineStr">
        <is>
          <t>시스템안전</t>
        </is>
      </c>
      <c r="G499" s="34" t="inlineStr">
        <is>
          <t>안전설계기법의 종류</t>
        </is>
      </c>
      <c r="H499" s="30" t="n"/>
      <c r="I499" s="30" t="n"/>
      <c r="J499" s="30" t="n"/>
      <c r="K499" s="30" t="n"/>
      <c r="L499" s="30" t="n"/>
      <c r="M499" s="30" t="n"/>
      <c r="N499" s="30" t="n"/>
      <c r="O499" s="30" t="n"/>
      <c r="P499" s="30" t="n"/>
    </row>
    <row r="500" customFormat="1" s="31">
      <c r="A500" s="32" t="n">
        <v>96</v>
      </c>
      <c r="B500" s="143" t="n">
        <v>122</v>
      </c>
      <c r="C500" s="144" t="n">
        <v>1</v>
      </c>
      <c r="D500" s="39" t="n">
        <v>3</v>
      </c>
      <c r="E500" s="32" t="inlineStr">
        <is>
          <t>안전관리론</t>
        </is>
      </c>
      <c r="F500" s="33" t="inlineStr">
        <is>
          <t>안전심리_휴식시간</t>
        </is>
      </c>
      <c r="G500" s="34" t="inlineStr">
        <is>
          <t>휴식시간 산출식</t>
        </is>
      </c>
      <c r="H500" s="30" t="n"/>
      <c r="I500" s="30" t="n"/>
      <c r="J500" s="30" t="n"/>
      <c r="K500" s="30" t="n"/>
      <c r="L500" s="30" t="n"/>
      <c r="M500" s="30" t="n"/>
      <c r="N500" s="30" t="n"/>
      <c r="O500" s="30" t="n"/>
      <c r="P500" s="30" t="n"/>
    </row>
    <row r="501" customFormat="1" s="31">
      <c r="A501" s="32" t="n">
        <v>97</v>
      </c>
      <c r="B501" s="143" t="n">
        <v>122</v>
      </c>
      <c r="C501" s="144" t="n">
        <v>1</v>
      </c>
      <c r="D501" s="39" t="n">
        <v>4</v>
      </c>
      <c r="E501" s="32" t="inlineStr">
        <is>
          <t>산안법</t>
        </is>
      </c>
      <c r="F501" s="33" t="inlineStr">
        <is>
          <t>안전보건교육</t>
        </is>
      </c>
      <c r="G501" s="34" t="inlineStr">
        <is>
          <t>산업안전보건법령 상 특별안전보건교육 대상작업</t>
        </is>
      </c>
      <c r="H501" s="30" t="n"/>
      <c r="I501" s="30" t="n"/>
      <c r="J501" s="30" t="n"/>
      <c r="K501" s="30" t="n"/>
      <c r="L501" s="30" t="n"/>
      <c r="M501" s="30" t="n"/>
      <c r="N501" s="30" t="n"/>
      <c r="O501" s="30" t="n"/>
      <c r="P501" s="30" t="n"/>
    </row>
    <row r="502" customFormat="1" s="31">
      <c r="A502" s="32" t="n">
        <v>98</v>
      </c>
      <c r="B502" s="143" t="n">
        <v>122</v>
      </c>
      <c r="C502" s="144" t="n">
        <v>1</v>
      </c>
      <c r="D502" s="39" t="n">
        <v>5</v>
      </c>
      <c r="E502" s="32" t="inlineStr">
        <is>
          <t>산안법</t>
        </is>
      </c>
      <c r="F502" s="33" t="inlineStr">
        <is>
          <t>안전보건대장</t>
        </is>
      </c>
      <c r="G502" s="34" t="inlineStr">
        <is>
          <t>건설공사 단계별 작성해야 하는 안전보건대장의 종류</t>
        </is>
      </c>
      <c r="H502" s="30" t="n"/>
      <c r="I502" s="30" t="n"/>
      <c r="J502" s="30" t="n"/>
      <c r="K502" s="30" t="n"/>
      <c r="L502" s="30" t="n"/>
      <c r="M502" s="30" t="n"/>
      <c r="N502" s="30" t="n"/>
      <c r="O502" s="30" t="n"/>
      <c r="P502" s="30" t="n"/>
    </row>
    <row r="503" customFormat="1" s="31">
      <c r="A503" s="32" t="n">
        <v>99</v>
      </c>
      <c r="B503" s="143" t="n">
        <v>122</v>
      </c>
      <c r="C503" s="144" t="n">
        <v>1</v>
      </c>
      <c r="D503" s="39" t="n">
        <v>6</v>
      </c>
      <c r="E503" s="32" t="inlineStr">
        <is>
          <t>기초</t>
        </is>
      </c>
      <c r="F503" s="33" t="inlineStr">
        <is>
          <t>흙막이</t>
        </is>
      </c>
      <c r="G503" s="34" t="inlineStr">
        <is>
          <t>아칭(Arching) 현상</t>
        </is>
      </c>
      <c r="H503" s="30" t="n"/>
      <c r="I503" s="30" t="n"/>
      <c r="J503" s="30" t="n"/>
      <c r="K503" s="30" t="n"/>
      <c r="L503" s="30" t="n"/>
      <c r="M503" s="30" t="n"/>
      <c r="N503" s="30" t="n"/>
      <c r="O503" s="30" t="n"/>
      <c r="P503" s="30" t="n"/>
    </row>
    <row r="504" customFormat="1" s="31">
      <c r="A504" s="32" t="n">
        <v>100</v>
      </c>
      <c r="B504" s="143" t="n">
        <v>122</v>
      </c>
      <c r="C504" s="144" t="n">
        <v>1</v>
      </c>
      <c r="D504" s="39" t="n">
        <v>7</v>
      </c>
      <c r="E504" s="32" t="inlineStr">
        <is>
          <t>토공</t>
        </is>
      </c>
      <c r="F504" s="33" t="inlineStr">
        <is>
          <t>사면안정</t>
        </is>
      </c>
      <c r="G504" s="34" t="inlineStr">
        <is>
          <t>SMR(Slope Mass Rating) 분류</t>
        </is>
      </c>
      <c r="H504" s="30" t="n"/>
      <c r="I504" s="30" t="n"/>
      <c r="J504" s="30" t="n"/>
      <c r="K504" s="30" t="n"/>
      <c r="L504" s="30" t="n"/>
      <c r="M504" s="30" t="n"/>
      <c r="N504" s="30" t="n"/>
      <c r="O504" s="30" t="n"/>
      <c r="P504" s="30" t="n"/>
    </row>
    <row r="505" customFormat="1" s="31">
      <c r="A505" s="32" t="n">
        <v>101</v>
      </c>
      <c r="B505" s="143" t="n">
        <v>122</v>
      </c>
      <c r="C505" s="144" t="n">
        <v>1</v>
      </c>
      <c r="D505" s="39" t="n">
        <v>8</v>
      </c>
      <c r="E505" s="32" t="inlineStr">
        <is>
          <t>산안법</t>
        </is>
      </c>
      <c r="F505" s="33" t="inlineStr">
        <is>
          <t>와이어로프</t>
        </is>
      </c>
      <c r="G505" s="34" t="inlineStr">
        <is>
          <t>와이어로프 사용가능 여부 및 폐기기준(단, 공칭지름이 30mm인 와이어로프가 현재 28.9mm이다)</t>
        </is>
      </c>
      <c r="H505" s="30" t="n"/>
      <c r="I505" s="30" t="n"/>
      <c r="J505" s="30" t="n"/>
      <c r="K505" s="30" t="n"/>
      <c r="L505" s="30" t="n"/>
      <c r="M505" s="30" t="n"/>
      <c r="N505" s="30" t="n"/>
      <c r="O505" s="30" t="n"/>
      <c r="P505" s="30" t="n"/>
    </row>
    <row r="506" customFormat="1" s="31">
      <c r="A506" s="32" t="n">
        <v>102</v>
      </c>
      <c r="B506" s="143" t="n">
        <v>122</v>
      </c>
      <c r="C506" s="144" t="n">
        <v>1</v>
      </c>
      <c r="D506" s="39" t="n">
        <v>9</v>
      </c>
      <c r="E506" s="32" t="inlineStr">
        <is>
          <t>콘크리트</t>
        </is>
      </c>
      <c r="F506" s="33" t="inlineStr">
        <is>
          <t>균열과 열화</t>
        </is>
      </c>
      <c r="G506" s="34" t="inlineStr">
        <is>
          <t>콘크리트 구조물에서 발생하는 화학적 침식</t>
        </is>
      </c>
      <c r="H506" s="30" t="n"/>
      <c r="I506" s="30" t="n"/>
      <c r="J506" s="30" t="n"/>
      <c r="K506" s="30" t="n"/>
      <c r="L506" s="30" t="n"/>
      <c r="M506" s="30" t="n"/>
      <c r="N506" s="30" t="n"/>
      <c r="O506" s="30" t="n"/>
      <c r="P506" s="30" t="n"/>
    </row>
    <row r="507" customFormat="1" s="31">
      <c r="A507" s="32" t="n">
        <v>103</v>
      </c>
      <c r="B507" s="143" t="n">
        <v>122</v>
      </c>
      <c r="C507" s="144" t="n">
        <v>1</v>
      </c>
      <c r="D507" s="39" t="n">
        <v>10</v>
      </c>
      <c r="E507" s="32" t="inlineStr">
        <is>
          <t>토공</t>
        </is>
      </c>
      <c r="F507" s="33" t="inlineStr">
        <is>
          <t>연약지반</t>
        </is>
      </c>
      <c r="G507" s="34" t="inlineStr">
        <is>
          <t>연약지반 사질토 개량공법의 종류</t>
        </is>
      </c>
      <c r="H507" s="30" t="n"/>
      <c r="I507" s="30" t="n"/>
      <c r="J507" s="30" t="n"/>
      <c r="K507" s="30" t="n"/>
      <c r="L507" s="30" t="n"/>
      <c r="M507" s="30" t="n"/>
      <c r="N507" s="30" t="n"/>
      <c r="O507" s="30" t="n"/>
      <c r="P507" s="30" t="n"/>
    </row>
    <row r="508" customFormat="1" s="31">
      <c r="A508" s="32" t="n">
        <v>104</v>
      </c>
      <c r="B508" s="143" t="n">
        <v>122</v>
      </c>
      <c r="C508" s="144" t="n">
        <v>1</v>
      </c>
      <c r="D508" s="39" t="n">
        <v>11</v>
      </c>
      <c r="E508" s="32" t="inlineStr">
        <is>
          <t>건설기계</t>
        </is>
      </c>
      <c r="F508" s="33" t="inlineStr">
        <is>
          <t>펌프카</t>
        </is>
      </c>
      <c r="G508" s="34" t="inlineStr">
        <is>
          <t>펌퍼빌러티(Pumpability)</t>
        </is>
      </c>
      <c r="H508" s="30" t="n"/>
      <c r="I508" s="30" t="n"/>
      <c r="J508" s="30" t="n"/>
      <c r="K508" s="30" t="n"/>
      <c r="L508" s="30" t="n"/>
      <c r="M508" s="30" t="n"/>
      <c r="N508" s="30" t="n"/>
      <c r="O508" s="30" t="n"/>
      <c r="P508" s="30" t="n"/>
    </row>
    <row r="509" customFormat="1" s="31">
      <c r="A509" s="32" t="n">
        <v>105</v>
      </c>
      <c r="B509" s="143" t="n">
        <v>122</v>
      </c>
      <c r="C509" s="144" t="n">
        <v>1</v>
      </c>
      <c r="D509" s="39" t="n">
        <v>12</v>
      </c>
      <c r="E509" s="32" t="inlineStr">
        <is>
          <t>토공</t>
        </is>
      </c>
      <c r="F509" s="33" t="inlineStr">
        <is>
          <t>펌프카</t>
        </is>
      </c>
      <c r="G509" s="34" t="inlineStr">
        <is>
          <t>흙의 다짐에 영향을 주는 요인</t>
        </is>
      </c>
      <c r="H509" s="30" t="n"/>
      <c r="I509" s="30" t="n"/>
      <c r="J509" s="30" t="n"/>
      <c r="K509" s="30" t="n"/>
      <c r="L509" s="30" t="n"/>
      <c r="M509" s="30" t="n"/>
      <c r="N509" s="30" t="n"/>
      <c r="O509" s="30" t="n"/>
      <c r="P509" s="30" t="n"/>
    </row>
    <row r="510" customFormat="1" s="31">
      <c r="A510" s="32" t="n">
        <v>106</v>
      </c>
      <c r="B510" s="143" t="n">
        <v>122</v>
      </c>
      <c r="C510" s="144" t="n">
        <v>1</v>
      </c>
      <c r="D510" s="39" t="n">
        <v>13</v>
      </c>
      <c r="E510" s="32" t="inlineStr">
        <is>
          <t>가설공사</t>
        </is>
      </c>
      <c r="F510" s="33" t="inlineStr">
        <is>
          <t>강관 동바리</t>
        </is>
      </c>
      <c r="G510" s="34" t="inlineStr">
        <is>
          <t>건축공사 시 동바리 설치 높이가 3.5m 이상일 경우 수평연결재 설치 이유</t>
        </is>
      </c>
      <c r="H510" s="30" t="n"/>
      <c r="I510" s="30" t="n"/>
      <c r="J510" s="30" t="n"/>
      <c r="K510" s="30" t="n"/>
      <c r="L510" s="30" t="n"/>
      <c r="M510" s="30" t="n"/>
      <c r="N510" s="30" t="n"/>
      <c r="O510" s="30" t="n"/>
      <c r="P510" s="30" t="n"/>
    </row>
    <row r="511" customFormat="1" s="31">
      <c r="A511" s="32" t="n">
        <v>107</v>
      </c>
      <c r="B511" s="143" t="n">
        <v>122</v>
      </c>
      <c r="C511" s="144" t="n">
        <v>2</v>
      </c>
      <c r="D511" s="39" t="n">
        <v>1</v>
      </c>
      <c r="E511" s="32" t="inlineStr">
        <is>
          <t>안전관리론</t>
        </is>
      </c>
      <c r="F511" s="33" t="inlineStr">
        <is>
          <t>안전심리_부주의</t>
        </is>
      </c>
      <c r="G511" s="34" t="inlineStr">
        <is>
          <t>건설현장의 인적사고요인이 되는 부주의 발생원인과 방지대책을 설명하시오</t>
        </is>
      </c>
      <c r="H511" s="30" t="n"/>
      <c r="I511" s="30" t="n"/>
      <c r="J511" s="30" t="n"/>
      <c r="K511" s="30" t="n"/>
      <c r="L511" s="30" t="n"/>
      <c r="M511" s="30" t="n"/>
      <c r="N511" s="30" t="n"/>
      <c r="O511" s="30" t="n"/>
      <c r="P511" s="30" t="n"/>
    </row>
    <row r="512" customFormat="1" s="31">
      <c r="A512" s="32" t="n">
        <v>108</v>
      </c>
      <c r="B512" s="143" t="n">
        <v>122</v>
      </c>
      <c r="C512" s="144" t="n">
        <v>2</v>
      </c>
      <c r="D512" s="39" t="n">
        <v>2</v>
      </c>
      <c r="E512" s="32" t="inlineStr">
        <is>
          <t>산안법</t>
        </is>
      </c>
      <c r="F512" s="33" t="inlineStr">
        <is>
          <t>직무스트레스</t>
        </is>
      </c>
      <c r="G512" s="34" t="inlineStr">
        <is>
          <t>건설근로자의 직무스트레스 요인 및 예방을 위한 관리감독자의 활동에 대하여 설명하시오</t>
        </is>
      </c>
      <c r="H512" s="30" t="n"/>
      <c r="I512" s="30" t="n"/>
      <c r="J512" s="30" t="n"/>
      <c r="K512" s="30" t="n"/>
      <c r="L512" s="30" t="n"/>
      <c r="M512" s="30" t="n"/>
      <c r="N512" s="30" t="n"/>
      <c r="O512" s="30" t="n"/>
      <c r="P512" s="30" t="n"/>
    </row>
    <row r="513" ht="33" customFormat="1" customHeight="1" s="31">
      <c r="A513" s="32" t="n">
        <v>109</v>
      </c>
      <c r="B513" s="143" t="n">
        <v>122</v>
      </c>
      <c r="C513" s="144" t="n">
        <v>2</v>
      </c>
      <c r="D513" s="39" t="n">
        <v>3</v>
      </c>
      <c r="E513" s="32" t="inlineStr">
        <is>
          <t>산안법</t>
        </is>
      </c>
      <c r="F513" s="33" t="inlineStr">
        <is>
          <t>안전보건교육</t>
        </is>
      </c>
      <c r="G513" s="34" t="inlineStr">
        <is>
          <t>타워크레인의 신호작업에 종사하는 일용근로자의 교육시간, 교육내용 및 효율적 교육실시 방안에 대하여 설명하시오</t>
        </is>
      </c>
      <c r="H513" s="30" t="n"/>
      <c r="I513" s="30" t="n"/>
      <c r="J513" s="30" t="n"/>
      <c r="K513" s="30" t="n"/>
      <c r="L513" s="30" t="n"/>
      <c r="M513" s="30" t="n"/>
      <c r="N513" s="30" t="n"/>
      <c r="O513" s="30" t="n"/>
      <c r="P513" s="30" t="n"/>
    </row>
    <row r="514" customFormat="1" s="31">
      <c r="A514" s="32" t="n">
        <v>110</v>
      </c>
      <c r="B514" s="143" t="n">
        <v>122</v>
      </c>
      <c r="C514" s="144" t="n">
        <v>2</v>
      </c>
      <c r="D514" s="39" t="n">
        <v>4</v>
      </c>
      <c r="E514" s="32" t="inlineStr">
        <is>
          <t>해체공사</t>
        </is>
      </c>
      <c r="F514" s="33" t="n"/>
      <c r="G514" s="34" t="inlineStr">
        <is>
          <t>건축구조물 해체공사 시 발생할 수 있는 재해유형과 안전대책에 대하여 설명하시오</t>
        </is>
      </c>
      <c r="H514" s="30" t="n"/>
      <c r="I514" s="30" t="n"/>
      <c r="J514" s="30" t="n"/>
      <c r="K514" s="30" t="n"/>
      <c r="L514" s="30" t="n"/>
      <c r="M514" s="30" t="n"/>
      <c r="N514" s="30" t="n"/>
      <c r="O514" s="30" t="n"/>
      <c r="P514" s="30" t="n"/>
    </row>
    <row r="515" customFormat="1" s="31">
      <c r="A515" s="32" t="n">
        <v>111</v>
      </c>
      <c r="B515" s="143" t="n">
        <v>122</v>
      </c>
      <c r="C515" s="144" t="n">
        <v>2</v>
      </c>
      <c r="D515" s="39" t="n">
        <v>5</v>
      </c>
      <c r="E515" s="32" t="inlineStr">
        <is>
          <t>계절재해</t>
        </is>
      </c>
      <c r="F515" s="33" t="inlineStr">
        <is>
          <t>장마철</t>
        </is>
      </c>
      <c r="G515" s="34" t="inlineStr">
        <is>
          <t>장마철 아파트 현장 위험요인별 안전대책에 대하여 설명하시오</t>
        </is>
      </c>
      <c r="H515" s="30" t="n"/>
      <c r="I515" s="30" t="n"/>
      <c r="J515" s="30" t="n"/>
      <c r="K515" s="30" t="n"/>
      <c r="L515" s="30" t="n"/>
      <c r="M515" s="30" t="n"/>
      <c r="N515" s="30" t="n"/>
      <c r="O515" s="30" t="n"/>
      <c r="P515" s="30" t="n"/>
    </row>
    <row r="516" customFormat="1" s="31">
      <c r="A516" s="32" t="n">
        <v>112</v>
      </c>
      <c r="B516" s="143" t="n">
        <v>122</v>
      </c>
      <c r="C516" s="144" t="n">
        <v>2</v>
      </c>
      <c r="D516" s="39" t="n">
        <v>6</v>
      </c>
      <c r="E516" s="32" t="inlineStr">
        <is>
          <t>터널</t>
        </is>
      </c>
      <c r="F516" s="33" t="inlineStr">
        <is>
          <t>여굴</t>
        </is>
      </c>
      <c r="G516" s="34" t="inlineStr">
        <is>
          <t>터널공사에서 여굴의 원인과 최소화 대책에 대하여 설명하시오</t>
        </is>
      </c>
      <c r="H516" s="30" t="n"/>
      <c r="I516" s="30" t="n"/>
      <c r="J516" s="30" t="n"/>
      <c r="K516" s="30" t="n"/>
      <c r="L516" s="30" t="n"/>
      <c r="M516" s="30" t="n"/>
      <c r="N516" s="30" t="n"/>
      <c r="O516" s="30" t="n"/>
      <c r="P516" s="30" t="n"/>
    </row>
    <row r="517" customFormat="1" s="31">
      <c r="A517" s="32" t="n">
        <v>113</v>
      </c>
      <c r="B517" s="143" t="n">
        <v>122</v>
      </c>
      <c r="C517" s="144" t="n">
        <v>3</v>
      </c>
      <c r="D517" s="39" t="n">
        <v>1</v>
      </c>
      <c r="E517" s="32" t="inlineStr">
        <is>
          <t>산안법</t>
        </is>
      </c>
      <c r="F517" s="33" t="inlineStr">
        <is>
          <t>위험성 평가</t>
        </is>
      </c>
      <c r="G517" s="34" t="inlineStr">
        <is>
          <t xml:space="preserve">해저드(Hazard)와 리스크(Risk)를 비교하고 위험감소 대책에 대하여 설명하시오. </t>
        </is>
      </c>
      <c r="H517" s="30" t="n"/>
      <c r="I517" s="30" t="n"/>
      <c r="J517" s="30" t="n"/>
      <c r="K517" s="30" t="n"/>
      <c r="L517" s="30" t="n"/>
      <c r="M517" s="30" t="n"/>
      <c r="N517" s="30" t="n"/>
      <c r="O517" s="30" t="n"/>
      <c r="P517" s="30" t="n"/>
    </row>
    <row r="518" ht="33" customFormat="1" customHeight="1" s="31">
      <c r="A518" s="32" t="n">
        <v>114</v>
      </c>
      <c r="B518" s="143" t="n">
        <v>122</v>
      </c>
      <c r="C518" s="144" t="n">
        <v>3</v>
      </c>
      <c r="D518" s="39" t="n">
        <v>2</v>
      </c>
      <c r="E518" s="32" t="inlineStr">
        <is>
          <t>산안법</t>
        </is>
      </c>
      <c r="F518" s="33" t="inlineStr">
        <is>
          <t>KOSHA-MS</t>
        </is>
      </c>
      <c r="G518" s="34" t="inlineStr">
        <is>
          <t>건설업 안전보건경영시스템 규격인 KOSHA-18001와 KOSHA-MS를 비교하고, 새로 추가된 KOSHA-MS 인정기준 구성요소에 대해 설명하시오</t>
        </is>
      </c>
      <c r="H518" s="30" t="n"/>
      <c r="I518" s="30" t="n"/>
      <c r="J518" s="30" t="n"/>
      <c r="K518" s="30" t="n"/>
      <c r="L518" s="30" t="n"/>
      <c r="M518" s="30" t="n"/>
      <c r="N518" s="30" t="n"/>
      <c r="O518" s="30" t="n"/>
      <c r="P518" s="30" t="n"/>
    </row>
    <row r="519" customFormat="1" s="31">
      <c r="A519" s="32" t="n">
        <v>115</v>
      </c>
      <c r="B519" s="143" t="n">
        <v>122</v>
      </c>
      <c r="C519" s="144" t="n">
        <v>3</v>
      </c>
      <c r="D519" s="39" t="n">
        <v>3</v>
      </c>
      <c r="E519" s="32" t="inlineStr">
        <is>
          <t>기초</t>
        </is>
      </c>
      <c r="F519" s="33" t="inlineStr">
        <is>
          <t>케이슨공법</t>
        </is>
      </c>
      <c r="G519" s="34" t="inlineStr">
        <is>
          <t>건설공사에서 케이슨공법(Cassion method)의 종류 및 안전시공대책에 대하여 설명하시오</t>
        </is>
      </c>
      <c r="H519" s="30" t="n"/>
      <c r="I519" s="30" t="n"/>
      <c r="J519" s="30" t="n"/>
      <c r="K519" s="30" t="n"/>
      <c r="L519" s="30" t="n"/>
      <c r="M519" s="30" t="n"/>
      <c r="N519" s="30" t="n"/>
      <c r="O519" s="30" t="n"/>
      <c r="P519" s="30" t="n"/>
    </row>
    <row r="520" customFormat="1" s="31">
      <c r="A520" s="32" t="n">
        <v>116</v>
      </c>
      <c r="B520" s="143" t="n">
        <v>122</v>
      </c>
      <c r="C520" s="144" t="n">
        <v>3</v>
      </c>
      <c r="D520" s="39" t="n">
        <v>4</v>
      </c>
      <c r="E520" s="32" t="inlineStr">
        <is>
          <t>콘크리트</t>
        </is>
      </c>
      <c r="F520" s="33" t="inlineStr">
        <is>
          <t>거푸집_연속거푸집</t>
        </is>
      </c>
      <c r="G520" s="34" t="inlineStr">
        <is>
          <t>건축공사 시 연속 거푸집 공법의 특징, 시공 시 유의사항과 안전대책에 대하여 설명하시오</t>
        </is>
      </c>
      <c r="H520" s="30" t="n"/>
      <c r="I520" s="30" t="n"/>
      <c r="J520" s="30" t="n"/>
      <c r="K520" s="30" t="n"/>
      <c r="L520" s="30" t="n"/>
      <c r="M520" s="30" t="n"/>
      <c r="N520" s="30" t="n"/>
      <c r="O520" s="30" t="n"/>
      <c r="P520" s="30" t="n"/>
    </row>
    <row r="521" customFormat="1" s="31">
      <c r="A521" s="32" t="n">
        <v>117</v>
      </c>
      <c r="B521" s="143" t="n">
        <v>122</v>
      </c>
      <c r="C521" s="144" t="n">
        <v>3</v>
      </c>
      <c r="D521" s="39" t="n">
        <v>5</v>
      </c>
      <c r="E521" s="32" t="inlineStr">
        <is>
          <t>건설기계</t>
        </is>
      </c>
      <c r="F521" s="33" t="inlineStr">
        <is>
          <t>차량계건설기계</t>
        </is>
      </c>
      <c r="G521" s="34" t="inlineStr">
        <is>
          <t>건설현장에서 사용되는 차량계건설기계의 작업계획서 내용, 재해유형과 안전대책에 대하여 설명하시오</t>
        </is>
      </c>
      <c r="H521" s="30" t="n"/>
      <c r="I521" s="30" t="n"/>
      <c r="J521" s="30" t="n"/>
      <c r="K521" s="30" t="n"/>
      <c r="L521" s="30" t="n"/>
      <c r="M521" s="30" t="n"/>
      <c r="N521" s="30" t="n"/>
      <c r="O521" s="30" t="n"/>
      <c r="P521" s="30" t="n"/>
    </row>
    <row r="522" customFormat="1" s="31">
      <c r="A522" s="32" t="n">
        <v>118</v>
      </c>
      <c r="B522" s="143" t="n">
        <v>122</v>
      </c>
      <c r="C522" s="144" t="n">
        <v>3</v>
      </c>
      <c r="D522" s="39" t="n">
        <v>6</v>
      </c>
      <c r="E522" s="32" t="inlineStr">
        <is>
          <t>기초</t>
        </is>
      </c>
      <c r="F522" s="33" t="inlineStr">
        <is>
          <t>굴착공사</t>
        </is>
      </c>
      <c r="G522" s="34" t="inlineStr">
        <is>
          <t>도시철도 개착 정거장 굴착공사 중에 발생할 수 있는 재해유형, 원인 및 안전대책에 대하여 설명하시오</t>
        </is>
      </c>
      <c r="H522" s="30" t="n"/>
      <c r="I522" s="30" t="n"/>
      <c r="J522" s="30" t="n"/>
      <c r="K522" s="30" t="n"/>
      <c r="L522" s="30" t="n"/>
      <c r="M522" s="30" t="n"/>
      <c r="N522" s="30" t="n"/>
      <c r="O522" s="30" t="n"/>
      <c r="P522" s="30" t="n"/>
    </row>
    <row r="523" customFormat="1" s="31">
      <c r="A523" s="32" t="n">
        <v>119</v>
      </c>
      <c r="B523" s="143" t="n">
        <v>122</v>
      </c>
      <c r="C523" s="144" t="n">
        <v>4</v>
      </c>
      <c r="D523" s="39" t="n">
        <v>1</v>
      </c>
      <c r="E523" s="32" t="inlineStr">
        <is>
          <t>산안법</t>
        </is>
      </c>
      <c r="F523" s="33" t="inlineStr">
        <is>
          <t>안전보건관리규정</t>
        </is>
      </c>
      <c r="G523" s="34" t="inlineStr">
        <is>
          <t>안전보건관리규정의 필요성 및 작성 시 유의사항에 대하여 설명하시오</t>
        </is>
      </c>
      <c r="H523" s="30" t="n"/>
      <c r="I523" s="30" t="n"/>
      <c r="J523" s="30" t="n"/>
      <c r="K523" s="30" t="n"/>
      <c r="L523" s="30" t="n"/>
      <c r="M523" s="30" t="n"/>
      <c r="N523" s="30" t="n"/>
      <c r="O523" s="30" t="n"/>
      <c r="P523" s="30" t="n"/>
    </row>
    <row r="524" customFormat="1" s="31">
      <c r="A524" s="32" t="n">
        <v>120</v>
      </c>
      <c r="B524" s="143" t="n">
        <v>122</v>
      </c>
      <c r="C524" s="144" t="n">
        <v>4</v>
      </c>
      <c r="D524" s="39" t="n">
        <v>2</v>
      </c>
      <c r="E524" s="32" t="inlineStr">
        <is>
          <t>안전관리론</t>
        </is>
      </c>
      <c r="F524" s="33" t="inlineStr">
        <is>
          <t>재해조사 및 통계</t>
        </is>
      </c>
      <c r="G524" s="34" t="inlineStr">
        <is>
          <t>재해손실비 산정 시 고려사항과 평가방식의 종류에 대하여 설명하시오</t>
        </is>
      </c>
      <c r="H524" s="30" t="n"/>
      <c r="I524" s="30" t="n"/>
      <c r="J524" s="30" t="n"/>
      <c r="K524" s="30" t="n"/>
      <c r="L524" s="30" t="n"/>
      <c r="M524" s="30" t="n"/>
      <c r="N524" s="30" t="n"/>
      <c r="O524" s="30" t="n"/>
      <c r="P524" s="30" t="n"/>
    </row>
    <row r="525" customFormat="1" s="31">
      <c r="A525" s="32" t="n">
        <v>121</v>
      </c>
      <c r="B525" s="143" t="n">
        <v>122</v>
      </c>
      <c r="C525" s="144" t="n">
        <v>4</v>
      </c>
      <c r="D525" s="39" t="n">
        <v>3</v>
      </c>
      <c r="E525" s="32" t="inlineStr">
        <is>
          <t>시사 이슈 문제</t>
        </is>
      </c>
      <c r="F525" s="33" t="inlineStr">
        <is>
          <t>코로나</t>
        </is>
      </c>
      <c r="G525" s="34" t="inlineStr">
        <is>
          <t>건설현장에서 코로나19예방 및 확산방지를 위한 조치사항에 대하여 설명하시오</t>
        </is>
      </c>
      <c r="H525" s="30" t="n"/>
      <c r="I525" s="30" t="n"/>
      <c r="J525" s="30" t="n"/>
      <c r="K525" s="30" t="n"/>
      <c r="L525" s="30" t="n"/>
      <c r="M525" s="30" t="n"/>
      <c r="N525" s="30" t="n"/>
      <c r="O525" s="30" t="n"/>
      <c r="P525" s="30" t="n"/>
    </row>
    <row r="526" customFormat="1" s="31">
      <c r="A526" s="32" t="n">
        <v>122</v>
      </c>
      <c r="B526" s="143" t="n">
        <v>122</v>
      </c>
      <c r="C526" s="144" t="n">
        <v>4</v>
      </c>
      <c r="D526" s="39" t="n">
        <v>4</v>
      </c>
      <c r="E526" s="32" t="inlineStr">
        <is>
          <t>기초</t>
        </is>
      </c>
      <c r="F526" s="33" t="inlineStr">
        <is>
          <t>굴착공사</t>
        </is>
      </c>
      <c r="G526" s="34" t="inlineStr">
        <is>
          <t>도심지 아파트건설공사 지반굴착 시 지하수위 저하에 따른 피해저감 대책에 대하여 설명하시오</t>
        </is>
      </c>
      <c r="H526" s="30" t="n"/>
      <c r="I526" s="30" t="n"/>
      <c r="J526" s="30" t="n"/>
      <c r="K526" s="30" t="n"/>
      <c r="L526" s="30" t="n"/>
      <c r="M526" s="30" t="n"/>
      <c r="N526" s="30" t="n"/>
      <c r="O526" s="30" t="n"/>
      <c r="P526" s="30" t="n"/>
    </row>
    <row r="527" customFormat="1" s="31">
      <c r="A527" s="32" t="n">
        <v>123</v>
      </c>
      <c r="B527" s="143" t="n">
        <v>122</v>
      </c>
      <c r="C527" s="144" t="n">
        <v>4</v>
      </c>
      <c r="D527" s="39" t="n">
        <v>5</v>
      </c>
      <c r="E527" s="32" t="inlineStr">
        <is>
          <t>시설물안전법</t>
        </is>
      </c>
      <c r="F527" s="33" t="inlineStr">
        <is>
          <t>안전점검</t>
        </is>
      </c>
      <c r="G527" s="34" t="inlineStr">
        <is>
          <t>콘크리트 구조물에 화재가 발생하였을 때 콘크리트 손상 평가 방법과 보수, 보강대책에 대하여 설명하시오</t>
        </is>
      </c>
      <c r="H527" s="30" t="n"/>
      <c r="I527" s="30" t="n"/>
      <c r="J527" s="30" t="n"/>
      <c r="K527" s="30" t="n"/>
      <c r="L527" s="30" t="n"/>
      <c r="M527" s="30" t="n"/>
      <c r="N527" s="30" t="n"/>
      <c r="O527" s="30" t="n"/>
      <c r="P527" s="30" t="n"/>
    </row>
    <row r="528" customFormat="1" s="31">
      <c r="A528" s="32" t="n">
        <v>124</v>
      </c>
      <c r="B528" s="143" t="n">
        <v>122</v>
      </c>
      <c r="C528" s="144" t="n">
        <v>4</v>
      </c>
      <c r="D528" s="39" t="n">
        <v>6</v>
      </c>
      <c r="E528" s="32" t="inlineStr">
        <is>
          <t>교량</t>
        </is>
      </c>
      <c r="F528" s="33" t="inlineStr">
        <is>
          <t>교량가설</t>
        </is>
      </c>
      <c r="G528" s="34" t="inlineStr">
        <is>
          <t>강교 가조립의 순서, 가설공법의 종류와 안전대책에 대하여 설명하시오</t>
        </is>
      </c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</row>
    <row r="529" customFormat="1" s="31">
      <c r="A529" s="32" t="n">
        <v>125</v>
      </c>
      <c r="B529" s="143" t="n">
        <v>121</v>
      </c>
      <c r="C529" s="144" t="n">
        <v>1</v>
      </c>
      <c r="D529" s="39" t="n">
        <v>1</v>
      </c>
      <c r="E529" s="32" t="inlineStr">
        <is>
          <t>산안법</t>
        </is>
      </c>
      <c r="F529" s="33" t="inlineStr">
        <is>
          <t>안전인증_안전보호구</t>
        </is>
      </c>
      <c r="G529" s="34" t="inlineStr">
        <is>
          <t>안전보호구의 종류</t>
        </is>
      </c>
      <c r="H529" s="30" t="n"/>
      <c r="I529" s="30" t="n"/>
      <c r="J529" s="30" t="n"/>
      <c r="K529" s="30" t="n"/>
      <c r="L529" s="30" t="n"/>
      <c r="M529" s="30" t="n"/>
      <c r="N529" s="30" t="n"/>
      <c r="O529" s="30" t="n"/>
      <c r="P529" s="30" t="n"/>
    </row>
    <row r="530" customFormat="1" s="31">
      <c r="A530" s="32" t="n">
        <v>126</v>
      </c>
      <c r="B530" s="143" t="n">
        <v>121</v>
      </c>
      <c r="C530" s="144" t="n">
        <v>1</v>
      </c>
      <c r="D530" s="39" t="n">
        <v>2</v>
      </c>
      <c r="E530" s="32" t="inlineStr">
        <is>
          <t>가설공사</t>
        </is>
      </c>
      <c r="F530" s="33" t="inlineStr">
        <is>
          <t>강관비계</t>
        </is>
      </c>
      <c r="G530" s="34" t="inlineStr">
        <is>
          <t>강관비계 조립시 준수 사항</t>
        </is>
      </c>
      <c r="H530" s="30" t="n"/>
      <c r="I530" s="30" t="n"/>
      <c r="J530" s="30" t="n"/>
      <c r="K530" s="30" t="n"/>
      <c r="L530" s="30" t="n"/>
      <c r="M530" s="30" t="n"/>
      <c r="N530" s="30" t="n"/>
      <c r="O530" s="30" t="n"/>
      <c r="P530" s="30" t="n"/>
    </row>
    <row r="531" customFormat="1" s="31">
      <c r="A531" s="32" t="n">
        <v>127</v>
      </c>
      <c r="B531" s="143" t="n">
        <v>121</v>
      </c>
      <c r="C531" s="144" t="n">
        <v>1</v>
      </c>
      <c r="D531" s="39" t="n">
        <v>3</v>
      </c>
      <c r="E531" s="32" t="inlineStr">
        <is>
          <t>안전관리론</t>
        </is>
      </c>
      <c r="F531" s="33" t="inlineStr">
        <is>
          <t>안전심리_RMR</t>
        </is>
      </c>
      <c r="G531" s="34" t="inlineStr">
        <is>
          <t>RMR(Relative Metabolic Rate)과 작업강도</t>
        </is>
      </c>
      <c r="H531" s="30" t="n"/>
      <c r="I531" s="30" t="n"/>
      <c r="J531" s="30" t="n"/>
      <c r="K531" s="30" t="n"/>
      <c r="L531" s="30" t="n"/>
      <c r="M531" s="30" t="n"/>
      <c r="N531" s="30" t="n"/>
      <c r="O531" s="30" t="n"/>
      <c r="P531" s="30" t="n"/>
    </row>
    <row r="532" customFormat="1" s="31">
      <c r="A532" s="32" t="n">
        <v>128</v>
      </c>
      <c r="B532" s="143" t="n">
        <v>121</v>
      </c>
      <c r="C532" s="144" t="n">
        <v>1</v>
      </c>
      <c r="D532" s="39" t="n">
        <v>4</v>
      </c>
      <c r="E532" s="32" t="inlineStr">
        <is>
          <t>강재</t>
        </is>
      </c>
      <c r="F532" s="33" t="inlineStr">
        <is>
          <t>용접결함</t>
        </is>
      </c>
      <c r="G532" s="34" t="inlineStr">
        <is>
          <t>용접결함의 종류</t>
        </is>
      </c>
      <c r="H532" s="30" t="n"/>
      <c r="I532" s="30" t="n"/>
      <c r="J532" s="30" t="n"/>
      <c r="K532" s="30" t="n"/>
      <c r="L532" s="30" t="n"/>
      <c r="M532" s="30" t="n"/>
      <c r="N532" s="30" t="n"/>
      <c r="O532" s="30" t="n"/>
      <c r="P532" s="30" t="n"/>
    </row>
    <row r="533" customFormat="1" s="30">
      <c r="A533" s="32" t="n">
        <v>129</v>
      </c>
      <c r="B533" s="143" t="n">
        <v>121</v>
      </c>
      <c r="C533" s="144" t="n">
        <v>1</v>
      </c>
      <c r="D533" s="39" t="n">
        <v>5</v>
      </c>
      <c r="E533" s="32" t="inlineStr">
        <is>
          <t>건설기계</t>
        </is>
      </c>
      <c r="F533" s="33" t="inlineStr">
        <is>
          <t>CPB</t>
        </is>
      </c>
      <c r="G533" s="34" t="inlineStr">
        <is>
          <t>CPB(Concrete Placing Boom)</t>
        </is>
      </c>
    </row>
    <row r="534" customFormat="1" s="30">
      <c r="A534" s="32" t="n">
        <v>130</v>
      </c>
      <c r="B534" s="143" t="n">
        <v>121</v>
      </c>
      <c r="C534" s="144" t="n">
        <v>1</v>
      </c>
      <c r="D534" s="39" t="n">
        <v>6</v>
      </c>
      <c r="E534" s="32" t="inlineStr">
        <is>
          <t>콘크리트</t>
        </is>
      </c>
      <c r="F534" s="33" t="inlineStr">
        <is>
          <t>배합설계</t>
        </is>
      </c>
      <c r="G534" s="34" t="inlineStr">
        <is>
          <t>콘크리트 배합설계 순서</t>
        </is>
      </c>
    </row>
    <row r="535" customFormat="1" s="30">
      <c r="A535" s="32" t="n">
        <v>131</v>
      </c>
      <c r="B535" s="143" t="n">
        <v>121</v>
      </c>
      <c r="C535" s="144" t="n">
        <v>1</v>
      </c>
      <c r="D535" s="39" t="n">
        <v>7</v>
      </c>
      <c r="E535" s="32" t="inlineStr">
        <is>
          <t>지진</t>
        </is>
      </c>
      <c r="F535" s="33" t="inlineStr">
        <is>
          <t>규모 진도</t>
        </is>
      </c>
      <c r="G535" s="34" t="inlineStr">
        <is>
          <t>지진의 규모 및 진도</t>
        </is>
      </c>
    </row>
    <row r="536" customFormat="1" s="30">
      <c r="A536" s="32" t="n">
        <v>132</v>
      </c>
      <c r="B536" s="143" t="n">
        <v>121</v>
      </c>
      <c r="C536" s="144" t="n">
        <v>1</v>
      </c>
      <c r="D536" s="39" t="n">
        <v>8</v>
      </c>
      <c r="E536" s="32" t="inlineStr">
        <is>
          <t>건진법</t>
        </is>
      </c>
      <c r="F536" s="33" t="inlineStr">
        <is>
          <t>스마트 안전장비</t>
        </is>
      </c>
      <c r="G536" s="34" t="inlineStr">
        <is>
          <t>스마트 안전장비</t>
        </is>
      </c>
    </row>
    <row r="537" customFormat="1" s="30">
      <c r="A537" s="32" t="n">
        <v>133</v>
      </c>
      <c r="B537" s="143" t="n">
        <v>121</v>
      </c>
      <c r="C537" s="144" t="n">
        <v>1</v>
      </c>
      <c r="D537" s="39" t="n">
        <v>9</v>
      </c>
      <c r="E537" s="32" t="inlineStr">
        <is>
          <t>산안법</t>
        </is>
      </c>
      <c r="F537" s="33" t="inlineStr">
        <is>
          <t>특수형태근로자</t>
        </is>
      </c>
      <c r="G537" s="34" t="inlineStr">
        <is>
          <t>특수형태 근로자</t>
        </is>
      </c>
    </row>
    <row r="538" customFormat="1" s="30">
      <c r="A538" s="32" t="n">
        <v>134</v>
      </c>
      <c r="B538" s="143" t="n">
        <v>121</v>
      </c>
      <c r="C538" s="144" t="n">
        <v>1</v>
      </c>
      <c r="D538" s="39" t="n">
        <v>10</v>
      </c>
      <c r="E538" s="32" t="inlineStr">
        <is>
          <t>산안법</t>
        </is>
      </c>
      <c r="F538" s="33" t="inlineStr">
        <is>
          <t>발주단계별 조치</t>
        </is>
      </c>
      <c r="G538" s="34" t="inlineStr">
        <is>
          <t>산업안전보건법 상 건설공사 발주단계별 조치사항</t>
        </is>
      </c>
    </row>
    <row r="539" customFormat="1" s="30">
      <c r="A539" s="32" t="n">
        <v>135</v>
      </c>
      <c r="B539" s="143" t="n">
        <v>121</v>
      </c>
      <c r="C539" s="144" t="n">
        <v>1</v>
      </c>
      <c r="D539" s="39" t="n">
        <v>11</v>
      </c>
      <c r="E539" s="32" t="inlineStr">
        <is>
          <t>기초</t>
        </is>
      </c>
      <c r="F539" s="33" t="inlineStr">
        <is>
          <t>흙막이</t>
        </is>
      </c>
      <c r="G539" s="34" t="inlineStr">
        <is>
          <t>흙막이공법 선정 시 유의 사항</t>
        </is>
      </c>
    </row>
    <row r="540" customFormat="1" s="30">
      <c r="A540" s="32" t="n">
        <v>136</v>
      </c>
      <c r="B540" s="143" t="n">
        <v>121</v>
      </c>
      <c r="C540" s="144" t="n">
        <v>1</v>
      </c>
      <c r="D540" s="39" t="n">
        <v>12</v>
      </c>
      <c r="E540" s="32" t="inlineStr">
        <is>
          <t>산안법</t>
        </is>
      </c>
      <c r="F540" s="33" t="inlineStr">
        <is>
          <t>유해위험의 사내도급금지</t>
        </is>
      </c>
      <c r="G540" s="34" t="inlineStr">
        <is>
          <t>유해 위험의 사내 도급금지 대상</t>
        </is>
      </c>
    </row>
    <row r="541" customFormat="1" s="30">
      <c r="A541" s="32" t="n">
        <v>137</v>
      </c>
      <c r="B541" s="143" t="n">
        <v>121</v>
      </c>
      <c r="C541" s="144" t="n">
        <v>1</v>
      </c>
      <c r="D541" s="39" t="n">
        <v>13</v>
      </c>
      <c r="E541" s="32" t="inlineStr">
        <is>
          <t>산안법</t>
        </is>
      </c>
      <c r="F541" s="33" t="inlineStr">
        <is>
          <t>건설재해예방기술지도</t>
        </is>
      </c>
      <c r="G541" s="34" t="inlineStr">
        <is>
          <t>건설재해예방 기술지도 횟수</t>
        </is>
      </c>
    </row>
    <row r="542" customFormat="1" s="30">
      <c r="A542" s="32" t="n">
        <v>138</v>
      </c>
      <c r="B542" s="143" t="n">
        <v>121</v>
      </c>
      <c r="C542" s="144" t="n">
        <v>2</v>
      </c>
      <c r="D542" s="39" t="n">
        <v>1</v>
      </c>
      <c r="E542" s="32" t="inlineStr">
        <is>
          <t>건진법</t>
        </is>
      </c>
      <c r="F542" s="33" t="inlineStr">
        <is>
          <t>가설구조물 안전성 확인</t>
        </is>
      </c>
      <c r="G542" s="34" t="inlineStr">
        <is>
          <t>건설기술진흥법 상 구조적 안전성을 확인해야 하는 가설구조물의 종류를 설명하시오</t>
        </is>
      </c>
    </row>
    <row r="543" ht="33" customFormat="1" customHeight="1" s="30">
      <c r="A543" s="32" t="n">
        <v>139</v>
      </c>
      <c r="B543" s="143" t="n">
        <v>121</v>
      </c>
      <c r="C543" s="144" t="n">
        <v>2</v>
      </c>
      <c r="D543" s="39" t="n">
        <v>2</v>
      </c>
      <c r="E543" s="32" t="inlineStr">
        <is>
          <t>재해유형</t>
        </is>
      </c>
      <c r="F543" s="33" t="inlineStr">
        <is>
          <t>화재</t>
        </is>
      </c>
      <c r="G543" s="34" t="inlineStr">
        <is>
          <t>최근 건물신축 마감공사 현장에서 용접.용단 작업 시 부주의로 인한 화재사고가 발생하여 사회문제화 되고 있다. 용접.용단 작업 시의 화재사고 원인과 방지대책에 대하여 설명하시오</t>
        </is>
      </c>
    </row>
    <row r="544" customFormat="1" s="30">
      <c r="A544" s="32" t="n">
        <v>140</v>
      </c>
      <c r="B544" s="143" t="n">
        <v>121</v>
      </c>
      <c r="C544" s="144" t="n">
        <v>2</v>
      </c>
      <c r="D544" s="39" t="n">
        <v>3</v>
      </c>
      <c r="E544" s="32" t="inlineStr">
        <is>
          <t>콘크리트</t>
        </is>
      </c>
      <c r="F544" s="33" t="inlineStr">
        <is>
          <t>거푸집_작업발판일체형거푸집</t>
        </is>
      </c>
      <c r="G544" s="34" t="inlineStr">
        <is>
          <t>작업발판 일체형거푸집 종류 및 조립.해체 시 안전대책을 설명하시오</t>
        </is>
      </c>
    </row>
    <row r="545" customFormat="1" s="30">
      <c r="A545" s="32" t="n">
        <v>141</v>
      </c>
      <c r="B545" s="143" t="n">
        <v>121</v>
      </c>
      <c r="C545" s="144" t="n">
        <v>2</v>
      </c>
      <c r="D545" s="39" t="n">
        <v>4</v>
      </c>
      <c r="E545" s="32" t="inlineStr">
        <is>
          <t>교량</t>
        </is>
      </c>
      <c r="F545" s="33" t="inlineStr">
        <is>
          <t>교량가설</t>
        </is>
      </c>
      <c r="G545" s="34" t="inlineStr">
        <is>
          <t>F.C.M(Free Cantilever Method)공법의 특징과 가설시 안전대책에 대하여 설명하시오</t>
        </is>
      </c>
    </row>
    <row r="546" customFormat="1" s="30">
      <c r="A546" s="32" t="n">
        <v>142</v>
      </c>
      <c r="B546" s="143" t="n">
        <v>121</v>
      </c>
      <c r="C546" s="144" t="n">
        <v>2</v>
      </c>
      <c r="D546" s="39" t="n">
        <v>5</v>
      </c>
      <c r="E546" s="32" t="inlineStr">
        <is>
          <t>기초</t>
        </is>
      </c>
      <c r="F546" s="33" t="inlineStr">
        <is>
          <t>옹벽</t>
        </is>
      </c>
      <c r="G546" s="34" t="inlineStr">
        <is>
          <t>보강토옹벽의 파괴유형과 방지대책을 설명하시오</t>
        </is>
      </c>
    </row>
    <row r="547" customFormat="1" s="30">
      <c r="A547" s="32" t="n">
        <v>143</v>
      </c>
      <c r="B547" s="143" t="n">
        <v>121</v>
      </c>
      <c r="C547" s="144" t="n">
        <v>2</v>
      </c>
      <c r="D547" s="39" t="n">
        <v>6</v>
      </c>
      <c r="E547" s="32" t="inlineStr">
        <is>
          <t>건진법</t>
        </is>
      </c>
      <c r="F547" s="33" t="inlineStr">
        <is>
          <t>안전관리계획서</t>
        </is>
      </c>
      <c r="G547" s="34" t="inlineStr">
        <is>
          <t>건설기술진흥법에 의한 안전관리계획 수립 대상공사에 대하여 설명하시오</t>
        </is>
      </c>
    </row>
    <row r="548" customFormat="1" s="30">
      <c r="A548" s="32" t="n">
        <v>144</v>
      </c>
      <c r="B548" s="143" t="n">
        <v>121</v>
      </c>
      <c r="C548" s="144" t="n">
        <v>3</v>
      </c>
      <c r="D548" s="39" t="n">
        <v>1</v>
      </c>
      <c r="E548" s="32" t="inlineStr">
        <is>
          <t>기초</t>
        </is>
      </c>
      <c r="F548" s="33" t="inlineStr">
        <is>
          <t>굴착공사</t>
        </is>
      </c>
      <c r="G548" s="34" t="inlineStr">
        <is>
          <t>관로시공을 위한 굴착공사시 발생하는 붕괴사고의 원인과 예방대책에 대하여 설명하시오</t>
        </is>
      </c>
    </row>
    <row r="549" ht="33" customFormat="1" customHeight="1" s="31">
      <c r="A549" s="32" t="n">
        <v>145</v>
      </c>
      <c r="B549" s="143" t="n">
        <v>121</v>
      </c>
      <c r="C549" s="144" t="n">
        <v>3</v>
      </c>
      <c r="D549" s="39" t="n">
        <v>2</v>
      </c>
      <c r="E549" s="32" t="inlineStr">
        <is>
          <t>철골</t>
        </is>
      </c>
      <c r="F549" s="33" t="inlineStr">
        <is>
          <t>재해유형</t>
        </is>
      </c>
      <c r="G549" s="34" t="inlineStr">
        <is>
          <t>철골조 공사 신축공사 중 발생할 수 있는 재해유형을 열거하고 사전검토사항 및 안전대책에 대하여 설명하시오</t>
        </is>
      </c>
      <c r="H549" s="30" t="n"/>
      <c r="I549" s="30" t="n"/>
      <c r="J549" s="30" t="n"/>
      <c r="K549" s="30" t="n"/>
      <c r="L549" s="30" t="n"/>
      <c r="M549" s="30" t="n"/>
      <c r="N549" s="30" t="n"/>
      <c r="O549" s="30" t="n"/>
      <c r="P549" s="30" t="n"/>
    </row>
    <row r="550" customFormat="1" s="31">
      <c r="A550" s="32" t="n">
        <v>146</v>
      </c>
      <c r="B550" s="143" t="n">
        <v>121</v>
      </c>
      <c r="C550" s="144" t="n">
        <v>3</v>
      </c>
      <c r="D550" s="39" t="n">
        <v>3</v>
      </c>
      <c r="E550" s="32" t="inlineStr">
        <is>
          <t>산안법</t>
        </is>
      </c>
      <c r="F550" s="33" t="inlineStr">
        <is>
          <t>산업재해예방활동 실적평가</t>
        </is>
      </c>
      <c r="G550" s="34" t="inlineStr">
        <is>
          <t>건설업체의 산업재해예방활동 실적 평가에 대하여 설명하시오</t>
        </is>
      </c>
      <c r="H550" s="30" t="n"/>
      <c r="I550" s="30" t="n"/>
      <c r="J550" s="30" t="n"/>
      <c r="K550" s="30" t="n"/>
      <c r="L550" s="30" t="n"/>
      <c r="M550" s="30" t="n"/>
      <c r="N550" s="30" t="n"/>
      <c r="O550" s="30" t="n"/>
      <c r="P550" s="30" t="n"/>
    </row>
    <row r="551" customFormat="1" s="31">
      <c r="A551" s="32" t="n">
        <v>147</v>
      </c>
      <c r="B551" s="143" t="n">
        <v>121</v>
      </c>
      <c r="C551" s="144" t="n">
        <v>3</v>
      </c>
      <c r="D551" s="39" t="n">
        <v>4</v>
      </c>
      <c r="E551" s="32" t="inlineStr">
        <is>
          <t>건설기계</t>
        </is>
      </c>
      <c r="F551" s="33" t="inlineStr">
        <is>
          <t>리프트</t>
        </is>
      </c>
      <c r="G551" s="34" t="inlineStr">
        <is>
          <t>건설작업용 리프트의 설치 해체시 재해예방 대책을 설명하시오</t>
        </is>
      </c>
      <c r="H551" s="30" t="n"/>
      <c r="I551" s="30" t="n"/>
      <c r="J551" s="30" t="n"/>
      <c r="K551" s="30" t="n"/>
      <c r="L551" s="30" t="n"/>
      <c r="M551" s="30" t="n"/>
      <c r="N551" s="30" t="n"/>
      <c r="O551" s="30" t="n"/>
      <c r="P551" s="30" t="n"/>
    </row>
    <row r="552" customFormat="1" s="31">
      <c r="A552" s="32" t="n">
        <v>148</v>
      </c>
      <c r="B552" s="143" t="n">
        <v>121</v>
      </c>
      <c r="C552" s="144" t="n">
        <v>3</v>
      </c>
      <c r="D552" s="39" t="n">
        <v>5</v>
      </c>
      <c r="E552" s="32" t="inlineStr">
        <is>
          <t>가설공사</t>
        </is>
      </c>
      <c r="F552" s="33" t="inlineStr">
        <is>
          <t>사다리</t>
        </is>
      </c>
      <c r="G552" s="34" t="inlineStr">
        <is>
          <t>사다리식 통로 설치 시 준수사항에 대하여 설명하시오</t>
        </is>
      </c>
      <c r="H552" s="30" t="n"/>
      <c r="I552" s="30" t="n"/>
      <c r="J552" s="30" t="n"/>
      <c r="K552" s="30" t="n"/>
      <c r="L552" s="30" t="n"/>
      <c r="M552" s="30" t="n"/>
      <c r="N552" s="30" t="n"/>
      <c r="O552" s="30" t="n"/>
      <c r="P552" s="30" t="n"/>
    </row>
    <row r="553" ht="49.5" customFormat="1" customHeight="1" s="31">
      <c r="A553" s="32" t="n">
        <v>149</v>
      </c>
      <c r="B553" s="143" t="n">
        <v>121</v>
      </c>
      <c r="C553" s="144" t="n">
        <v>3</v>
      </c>
      <c r="D553" s="39" t="n">
        <v>6</v>
      </c>
      <c r="E553" s="32" t="inlineStr">
        <is>
          <t>기초</t>
        </is>
      </c>
      <c r="F553" s="33" t="inlineStr">
        <is>
          <t>안전관리계획서</t>
        </is>
      </c>
      <c r="G553" s="34" t="inlineStr">
        <is>
          <t>구조물 등의 인접작업 시 다음의 경우에 준수해야 할 사항에 대하여 각각 설명하시오
1) 지하매설물이 있는 경우
2) 기존구조물이 인접하여 있는 경우</t>
        </is>
      </c>
      <c r="H553" s="30" t="n"/>
      <c r="I553" s="30" t="n"/>
      <c r="J553" s="30" t="n"/>
      <c r="K553" s="30" t="n"/>
      <c r="L553" s="30" t="n"/>
      <c r="M553" s="30" t="n"/>
      <c r="N553" s="30" t="n"/>
      <c r="O553" s="30" t="n"/>
      <c r="P553" s="30" t="n"/>
    </row>
    <row r="554" customFormat="1" s="31">
      <c r="A554" s="32" t="n">
        <v>150</v>
      </c>
      <c r="B554" s="143" t="n">
        <v>121</v>
      </c>
      <c r="C554" s="144" t="n">
        <v>4</v>
      </c>
      <c r="D554" s="39" t="n">
        <v>1</v>
      </c>
      <c r="E554" s="32" t="inlineStr">
        <is>
          <t>콘크리트</t>
        </is>
      </c>
      <c r="F554" s="33" t="inlineStr">
        <is>
          <t>균열과 열화</t>
        </is>
      </c>
      <c r="G554" s="34" t="inlineStr">
        <is>
          <t>콘크리트 타설 후 발생하는 초기균열의 종류별 발생원인 및 예방대책에 대하여 설명하시오</t>
        </is>
      </c>
      <c r="H554" s="30" t="n"/>
      <c r="I554" s="30" t="n"/>
      <c r="J554" s="30" t="n"/>
      <c r="K554" s="30" t="n"/>
      <c r="L554" s="30" t="n"/>
      <c r="M554" s="30" t="n"/>
      <c r="N554" s="30" t="n"/>
      <c r="O554" s="30" t="n"/>
      <c r="P554" s="30" t="n"/>
    </row>
    <row r="555" customFormat="1" s="31">
      <c r="A555" s="32" t="n">
        <v>151</v>
      </c>
      <c r="B555" s="143" t="n">
        <v>121</v>
      </c>
      <c r="C555" s="144" t="n">
        <v>4</v>
      </c>
      <c r="D555" s="39" t="n">
        <v>2</v>
      </c>
      <c r="E555" s="32" t="inlineStr">
        <is>
          <t>기초</t>
        </is>
      </c>
      <c r="F555" s="33" t="inlineStr">
        <is>
          <t>옹벽</t>
        </is>
      </c>
      <c r="G555" s="34" t="inlineStr">
        <is>
          <t>옹벽구조물공사시 지하수로 인한 문제점 및 안전성 확보방안에 대하여 설명하시오</t>
        </is>
      </c>
      <c r="H555" s="30" t="n"/>
      <c r="I555" s="30" t="n"/>
      <c r="J555" s="30" t="n"/>
      <c r="K555" s="30" t="n"/>
      <c r="L555" s="30" t="n"/>
      <c r="M555" s="30" t="n"/>
      <c r="N555" s="30" t="n"/>
      <c r="O555" s="30" t="n"/>
      <c r="P555" s="30" t="n"/>
    </row>
    <row r="556" customFormat="1" s="31">
      <c r="A556" s="32" t="n">
        <v>152</v>
      </c>
      <c r="B556" s="143" t="n">
        <v>121</v>
      </c>
      <c r="C556" s="144" t="n">
        <v>4</v>
      </c>
      <c r="D556" s="39" t="n">
        <v>3</v>
      </c>
      <c r="E556" s="32" t="inlineStr">
        <is>
          <t>산안법</t>
        </is>
      </c>
      <c r="F556" s="33" t="inlineStr">
        <is>
          <t>작업환경_근골격계</t>
        </is>
      </c>
      <c r="G556" s="34" t="inlineStr">
        <is>
          <t>근골격계 부담작업의 종류 및 예방프로그램에 대하여 설명하시오</t>
        </is>
      </c>
      <c r="H556" s="30" t="n"/>
      <c r="I556" s="30" t="n"/>
      <c r="J556" s="30" t="n"/>
      <c r="K556" s="30" t="n"/>
      <c r="L556" s="30" t="n"/>
      <c r="M556" s="30" t="n"/>
      <c r="N556" s="30" t="n"/>
      <c r="O556" s="30" t="n"/>
      <c r="P556" s="30" t="n"/>
    </row>
    <row r="557" customFormat="1" s="31">
      <c r="A557" s="32" t="n">
        <v>153</v>
      </c>
      <c r="B557" s="143" t="n">
        <v>121</v>
      </c>
      <c r="C557" s="144" t="n">
        <v>4</v>
      </c>
      <c r="D557" s="39" t="n">
        <v>4</v>
      </c>
      <c r="E557" s="32" t="inlineStr">
        <is>
          <t>건설기계</t>
        </is>
      </c>
      <c r="F557" s="33" t="inlineStr">
        <is>
          <t>차량계건설기계</t>
        </is>
      </c>
      <c r="G557" s="34" t="inlineStr">
        <is>
          <t>차량계 건설기계의 종류 및 안전대책에 대하여 설명하시오</t>
        </is>
      </c>
      <c r="H557" s="30" t="n"/>
      <c r="I557" s="30" t="n"/>
      <c r="J557" s="30" t="n"/>
      <c r="K557" s="30" t="n"/>
      <c r="L557" s="30" t="n"/>
      <c r="M557" s="30" t="n"/>
      <c r="N557" s="30" t="n"/>
      <c r="O557" s="30" t="n"/>
      <c r="P557" s="30" t="n"/>
    </row>
    <row r="558" customFormat="1" s="31">
      <c r="A558" s="32" t="n">
        <v>154</v>
      </c>
      <c r="B558" s="143" t="n">
        <v>121</v>
      </c>
      <c r="C558" s="144" t="n">
        <v>4</v>
      </c>
      <c r="D558" s="39" t="n">
        <v>5</v>
      </c>
      <c r="E558" s="32" t="inlineStr">
        <is>
          <t>건진법</t>
        </is>
      </c>
      <c r="F558" s="33" t="inlineStr">
        <is>
          <t>안전점검</t>
        </is>
      </c>
      <c r="G558" s="34" t="inlineStr">
        <is>
          <t>건설공사 현장의 안전점검 조사항목 및 세부시험 종류에 대하여 설명하시오</t>
        </is>
      </c>
      <c r="H558" s="30" t="n"/>
      <c r="I558" s="30" t="n"/>
      <c r="J558" s="30" t="n"/>
      <c r="K558" s="30" t="n"/>
      <c r="L558" s="30" t="n"/>
      <c r="M558" s="30" t="n"/>
      <c r="N558" s="30" t="n"/>
      <c r="O558" s="30" t="n"/>
      <c r="P558" s="30" t="n"/>
    </row>
    <row r="559" customFormat="1" s="31">
      <c r="A559" s="32" t="n">
        <v>155</v>
      </c>
      <c r="B559" s="143" t="n">
        <v>121</v>
      </c>
      <c r="C559" s="144" t="n">
        <v>4</v>
      </c>
      <c r="D559" s="39" t="n">
        <v>6</v>
      </c>
      <c r="E559" s="32" t="inlineStr">
        <is>
          <t>콘크리트</t>
        </is>
      </c>
      <c r="F559" s="33" t="inlineStr">
        <is>
          <t>거푸집 동바리</t>
        </is>
      </c>
      <c r="G559" s="34" t="inlineStr">
        <is>
          <t>거푸집 및 동바리에 작용하는 하중에 대하여 설명하시오</t>
        </is>
      </c>
      <c r="H559" s="30" t="n"/>
      <c r="I559" s="30" t="n"/>
      <c r="J559" s="30" t="n"/>
      <c r="K559" s="30" t="n"/>
      <c r="L559" s="30" t="n"/>
      <c r="M559" s="30" t="n"/>
      <c r="N559" s="30" t="n"/>
      <c r="O559" s="30" t="n"/>
      <c r="P559" s="30" t="n"/>
    </row>
    <row r="560" customFormat="1" s="31">
      <c r="A560" s="32" t="n">
        <v>156</v>
      </c>
      <c r="B560" s="143" t="n">
        <v>120</v>
      </c>
      <c r="C560" s="144" t="n">
        <v>1</v>
      </c>
      <c r="D560" s="39" t="n">
        <v>1</v>
      </c>
      <c r="E560" s="32" t="inlineStr">
        <is>
          <t>터널</t>
        </is>
      </c>
      <c r="F560" s="33" t="inlineStr">
        <is>
          <t>패이스매핑</t>
        </is>
      </c>
      <c r="G560" s="34" t="inlineStr">
        <is>
          <t>페이스 맵핑(Face Mapping)</t>
        </is>
      </c>
      <c r="H560" s="30" t="n"/>
      <c r="I560" s="30" t="n"/>
      <c r="J560" s="30" t="n"/>
      <c r="K560" s="30" t="n"/>
      <c r="L560" s="30" t="n"/>
      <c r="M560" s="30" t="n"/>
      <c r="N560" s="30" t="n"/>
      <c r="O560" s="30" t="n"/>
      <c r="P560" s="30" t="n"/>
    </row>
    <row r="561" customFormat="1" s="31">
      <c r="A561" s="32" t="n">
        <v>157</v>
      </c>
      <c r="B561" s="143" t="n">
        <v>120</v>
      </c>
      <c r="C561" s="144" t="n">
        <v>1</v>
      </c>
      <c r="D561" s="39" t="n">
        <v>2</v>
      </c>
      <c r="E561" s="32" t="inlineStr">
        <is>
          <t>안전관리론</t>
        </is>
      </c>
      <c r="F561" s="33" t="inlineStr">
        <is>
          <t>고령근로자</t>
        </is>
      </c>
      <c r="G561" s="34" t="inlineStr">
        <is>
          <t>건설업 장년(고령)근로자 신체적 특징과 이에 따른 재해예방대책</t>
        </is>
      </c>
      <c r="H561" s="30" t="n"/>
      <c r="I561" s="30" t="n"/>
      <c r="J561" s="30" t="n"/>
      <c r="K561" s="30" t="n"/>
      <c r="L561" s="30" t="n"/>
      <c r="M561" s="30" t="n"/>
      <c r="N561" s="30" t="n"/>
      <c r="O561" s="30" t="n"/>
      <c r="P561" s="30" t="n"/>
    </row>
    <row r="562" customFormat="1" s="31">
      <c r="A562" s="32" t="n">
        <v>158</v>
      </c>
      <c r="B562" s="143" t="n">
        <v>120</v>
      </c>
      <c r="C562" s="144" t="n">
        <v>1</v>
      </c>
      <c r="D562" s="39" t="n">
        <v>3</v>
      </c>
      <c r="E562" s="32" t="inlineStr">
        <is>
          <t>산안법</t>
        </is>
      </c>
      <c r="F562" s="33" t="inlineStr">
        <is>
          <t>안전보건조정자</t>
        </is>
      </c>
      <c r="G562" s="34" t="inlineStr">
        <is>
          <t>안전보건조정자</t>
        </is>
      </c>
      <c r="H562" s="30" t="n"/>
      <c r="I562" s="30" t="n"/>
      <c r="J562" s="30" t="n"/>
      <c r="K562" s="30" t="n"/>
      <c r="L562" s="30" t="n"/>
      <c r="M562" s="30" t="n"/>
      <c r="N562" s="30" t="n"/>
      <c r="O562" s="30" t="n"/>
      <c r="P562" s="30" t="n"/>
    </row>
    <row r="563" customFormat="1" s="31">
      <c r="A563" s="32" t="n">
        <v>159</v>
      </c>
      <c r="B563" s="143" t="n">
        <v>120</v>
      </c>
      <c r="C563" s="144" t="n">
        <v>1</v>
      </c>
      <c r="D563" s="39" t="n">
        <v>4</v>
      </c>
      <c r="E563" s="32" t="inlineStr">
        <is>
          <t>터널</t>
        </is>
      </c>
      <c r="F563" s="33" t="inlineStr">
        <is>
          <t>RQD</t>
        </is>
      </c>
      <c r="G563" s="34" t="inlineStr">
        <is>
          <t>암반의 암질지수(RQD : Rock Quality Designation)</t>
        </is>
      </c>
      <c r="H563" s="30" t="n"/>
      <c r="I563" s="30" t="n"/>
      <c r="J563" s="30" t="n"/>
      <c r="K563" s="30" t="n"/>
      <c r="L563" s="30" t="n"/>
      <c r="M563" s="30" t="n"/>
      <c r="N563" s="30" t="n"/>
      <c r="O563" s="30" t="n"/>
      <c r="P563" s="30" t="n"/>
    </row>
    <row r="564" customFormat="1" s="31">
      <c r="A564" s="32" t="n">
        <v>160</v>
      </c>
      <c r="B564" s="143" t="n">
        <v>120</v>
      </c>
      <c r="C564" s="144" t="n">
        <v>1</v>
      </c>
      <c r="D564" s="39" t="n">
        <v>5</v>
      </c>
      <c r="E564" s="32" t="inlineStr">
        <is>
          <t>안전관리론</t>
        </is>
      </c>
      <c r="F564" s="33" t="inlineStr">
        <is>
          <t>안전심리_가현운동</t>
        </is>
      </c>
      <c r="G564" s="34" t="inlineStr">
        <is>
          <t>가현운동</t>
        </is>
      </c>
      <c r="H564" s="30" t="n"/>
      <c r="I564" s="30" t="n"/>
      <c r="J564" s="30" t="n"/>
      <c r="K564" s="30" t="n"/>
      <c r="L564" s="30" t="n"/>
      <c r="M564" s="30" t="n"/>
      <c r="N564" s="30" t="n"/>
      <c r="O564" s="30" t="n"/>
      <c r="P564" s="30" t="n"/>
    </row>
    <row r="565" customFormat="1" s="31">
      <c r="A565" s="32" t="n">
        <v>161</v>
      </c>
      <c r="B565" s="143" t="n">
        <v>120</v>
      </c>
      <c r="C565" s="144" t="n">
        <v>1</v>
      </c>
      <c r="D565" s="39" t="n">
        <v>6</v>
      </c>
      <c r="E565" s="32" t="inlineStr">
        <is>
          <t>건진법</t>
        </is>
      </c>
      <c r="F565" s="33" t="inlineStr">
        <is>
          <t>건설사고조사위원회, 중대건설사고</t>
        </is>
      </c>
      <c r="G565" s="34" t="inlineStr">
        <is>
          <t>건설기술진흥법에 따른 건설사고조사위원회를 구성하여야 하는 중대건설사고의 종류</t>
        </is>
      </c>
      <c r="H565" s="30" t="n"/>
      <c r="I565" s="30" t="n"/>
      <c r="J565" s="30" t="n"/>
      <c r="K565" s="30" t="n"/>
      <c r="L565" s="30" t="n"/>
      <c r="M565" s="30" t="n"/>
      <c r="N565" s="30" t="n"/>
      <c r="O565" s="30" t="n"/>
      <c r="P565" s="30" t="n"/>
    </row>
    <row r="566" customFormat="1" s="31">
      <c r="A566" s="32" t="n">
        <v>162</v>
      </c>
      <c r="B566" s="143" t="n">
        <v>120</v>
      </c>
      <c r="C566" s="144" t="n">
        <v>1</v>
      </c>
      <c r="D566" s="39" t="n">
        <v>7</v>
      </c>
      <c r="E566" s="32" t="inlineStr">
        <is>
          <t>건설기계</t>
        </is>
      </c>
      <c r="F566" s="33" t="inlineStr">
        <is>
          <t>항타기 항발기</t>
        </is>
      </c>
      <c r="G566" s="34" t="inlineStr">
        <is>
          <t>항타기 및 항발기 넘어짐 방지 및 사용 시 안전조치사항</t>
        </is>
      </c>
      <c r="H566" s="30" t="n"/>
      <c r="I566" s="30" t="n"/>
      <c r="J566" s="30" t="n"/>
      <c r="K566" s="30" t="n"/>
      <c r="L566" s="30" t="n"/>
      <c r="M566" s="30" t="n"/>
      <c r="N566" s="30" t="n"/>
      <c r="O566" s="30" t="n"/>
      <c r="P566" s="30" t="n"/>
    </row>
    <row r="567" customFormat="1" s="31">
      <c r="A567" s="32" t="n">
        <v>163</v>
      </c>
      <c r="B567" s="143" t="n">
        <v>120</v>
      </c>
      <c r="C567" s="144" t="n">
        <v>1</v>
      </c>
      <c r="D567" s="39" t="n">
        <v>8</v>
      </c>
      <c r="E567" s="32" t="inlineStr">
        <is>
          <t>산안법</t>
        </is>
      </c>
      <c r="F567" s="33" t="inlineStr">
        <is>
          <t>안전인증_안전화</t>
        </is>
      </c>
      <c r="G567" s="34" t="inlineStr">
        <is>
          <t>안전화의 종류, 가죽제안전화 완성품에 대한 시험성능기준</t>
        </is>
      </c>
      <c r="H567" s="30" t="n"/>
      <c r="I567" s="30" t="n"/>
      <c r="J567" s="30" t="n"/>
      <c r="K567" s="30" t="n"/>
      <c r="L567" s="30" t="n"/>
      <c r="M567" s="30" t="n"/>
      <c r="N567" s="30" t="n"/>
      <c r="O567" s="30" t="n"/>
      <c r="P567" s="30" t="n"/>
    </row>
    <row r="568" customFormat="1" s="31">
      <c r="A568" s="32" t="n">
        <v>164</v>
      </c>
      <c r="B568" s="143" t="n">
        <v>120</v>
      </c>
      <c r="C568" s="144" t="n">
        <v>1</v>
      </c>
      <c r="D568" s="39" t="n">
        <v>9</v>
      </c>
      <c r="E568" s="32" t="inlineStr">
        <is>
          <t>지진</t>
        </is>
      </c>
      <c r="F568" s="33" t="inlineStr">
        <is>
          <t>내진설계</t>
        </is>
      </c>
      <c r="G568" s="34" t="inlineStr">
        <is>
          <t>내진설계 일반(국토교통부 고시)에서 정한 건축물 내진등급</t>
        </is>
      </c>
      <c r="H568" s="30" t="n"/>
      <c r="I568" s="30" t="n"/>
      <c r="J568" s="30" t="n"/>
      <c r="K568" s="30" t="n"/>
      <c r="L568" s="30" t="n"/>
      <c r="M568" s="30" t="n"/>
      <c r="N568" s="30" t="n"/>
      <c r="O568" s="30" t="n"/>
      <c r="P568" s="30" t="n"/>
    </row>
    <row r="569" customFormat="1" s="31">
      <c r="A569" s="32" t="n">
        <v>165</v>
      </c>
      <c r="B569" s="143" t="n">
        <v>120</v>
      </c>
      <c r="C569" s="144" t="n">
        <v>1</v>
      </c>
      <c r="D569" s="39" t="n">
        <v>10</v>
      </c>
      <c r="E569" s="32" t="inlineStr">
        <is>
          <t>기초</t>
        </is>
      </c>
      <c r="F569" s="33" t="inlineStr">
        <is>
          <t>흙막이</t>
        </is>
      </c>
      <c r="G569" s="34" t="inlineStr">
        <is>
          <t>Piping 현상</t>
        </is>
      </c>
      <c r="H569" s="30" t="n"/>
      <c r="I569" s="30" t="n"/>
      <c r="J569" s="30" t="n"/>
      <c r="K569" s="30" t="n"/>
      <c r="L569" s="30" t="n"/>
      <c r="M569" s="30" t="n"/>
      <c r="N569" s="30" t="n"/>
      <c r="O569" s="30" t="n"/>
      <c r="P569" s="30" t="n"/>
    </row>
    <row r="570" customFormat="1" s="31">
      <c r="A570" s="32" t="n">
        <v>166</v>
      </c>
      <c r="B570" s="143" t="n">
        <v>120</v>
      </c>
      <c r="C570" s="144" t="n">
        <v>1</v>
      </c>
      <c r="D570" s="39" t="n">
        <v>11</v>
      </c>
      <c r="E570" s="32" t="inlineStr">
        <is>
          <t>콘크리트</t>
        </is>
      </c>
      <c r="F570" s="33" t="inlineStr">
        <is>
          <t>균열과 열화</t>
        </is>
      </c>
      <c r="G570" s="34" t="inlineStr">
        <is>
          <t>콘크리트의 침하균열(Settlement Crack)</t>
        </is>
      </c>
      <c r="H570" s="30" t="n"/>
      <c r="I570" s="30" t="n"/>
      <c r="J570" s="30" t="n"/>
      <c r="K570" s="30" t="n"/>
      <c r="L570" s="30" t="n"/>
      <c r="M570" s="30" t="n"/>
      <c r="N570" s="30" t="n"/>
      <c r="O570" s="30" t="n"/>
      <c r="P570" s="30" t="n"/>
    </row>
    <row r="571" customFormat="1" s="31">
      <c r="A571" s="32" t="n">
        <v>167</v>
      </c>
      <c r="B571" s="143" t="n">
        <v>120</v>
      </c>
      <c r="C571" s="144" t="n">
        <v>1</v>
      </c>
      <c r="D571" s="39" t="n">
        <v>12</v>
      </c>
      <c r="E571" s="32" t="inlineStr">
        <is>
          <t>안전관리론</t>
        </is>
      </c>
      <c r="F571" s="33" t="inlineStr">
        <is>
          <t>안전심리_자신과잉</t>
        </is>
      </c>
      <c r="G571" s="34" t="inlineStr">
        <is>
          <t>자신과잉</t>
        </is>
      </c>
      <c r="H571" s="30" t="n"/>
      <c r="I571" s="30" t="n"/>
      <c r="J571" s="30" t="n"/>
      <c r="K571" s="30" t="n"/>
      <c r="L571" s="30" t="n"/>
      <c r="M571" s="30" t="n"/>
      <c r="N571" s="30" t="n"/>
      <c r="O571" s="30" t="n"/>
      <c r="P571" s="30" t="n"/>
    </row>
    <row r="572" customFormat="1" s="31">
      <c r="A572" s="32" t="n">
        <v>168</v>
      </c>
      <c r="B572" s="143" t="n">
        <v>120</v>
      </c>
      <c r="C572" s="144" t="n">
        <v>1</v>
      </c>
      <c r="D572" s="39" t="n">
        <v>13</v>
      </c>
      <c r="E572" s="32" t="inlineStr">
        <is>
          <t>가설공사</t>
        </is>
      </c>
      <c r="F572" s="33" t="inlineStr">
        <is>
          <t>통로용 작업발판</t>
        </is>
      </c>
      <c r="G572" s="34" t="inlineStr">
        <is>
          <t>통로용 작업발판</t>
        </is>
      </c>
      <c r="H572" s="30" t="n"/>
      <c r="I572" s="30" t="n"/>
      <c r="J572" s="30" t="n"/>
      <c r="K572" s="30" t="n"/>
      <c r="L572" s="30" t="n"/>
      <c r="M572" s="30" t="n"/>
      <c r="N572" s="30" t="n"/>
      <c r="O572" s="30" t="n"/>
      <c r="P572" s="30" t="n"/>
    </row>
    <row r="573">
      <c r="A573" s="6" t="n">
        <v>169</v>
      </c>
      <c r="B573" s="145" t="n">
        <v>120</v>
      </c>
      <c r="C573" s="146" t="n">
        <v>2</v>
      </c>
      <c r="D573" s="7" t="n">
        <v>1</v>
      </c>
      <c r="E573" s="6" t="inlineStr">
        <is>
          <t>산안법</t>
        </is>
      </c>
      <c r="F573" s="8" t="inlineStr">
        <is>
          <t>위험성 평가</t>
        </is>
      </c>
      <c r="G573" s="24" t="inlineStr">
        <is>
          <t>위험성평가 종류별 실시시기와 위험성 감소대책 수립·실행 시 고려사항을 설명하시오.</t>
        </is>
      </c>
    </row>
    <row r="574" ht="33" customHeight="1" s="77">
      <c r="A574" s="6" t="n">
        <v>170</v>
      </c>
      <c r="B574" s="145" t="n">
        <v>120</v>
      </c>
      <c r="C574" s="146" t="n">
        <v>2</v>
      </c>
      <c r="D574" s="7" t="n">
        <v>2</v>
      </c>
      <c r="E574" s="6" t="inlineStr">
        <is>
          <t>해체공사</t>
        </is>
      </c>
      <c r="F574" s="8" t="n"/>
      <c r="G574" s="24" t="inlineStr">
        <is>
          <t>노후 건축물 해체·철거공사 시 발생한 붕괴사고 사례를 열거하고, 붕괴사고 발생원인 및 예방대책에 대하여 설명하시오.</t>
        </is>
      </c>
    </row>
    <row r="575" ht="33" customHeight="1" s="77">
      <c r="A575" s="6" t="n">
        <v>171</v>
      </c>
      <c r="B575" s="145" t="n">
        <v>120</v>
      </c>
      <c r="C575" s="146" t="n">
        <v>2</v>
      </c>
      <c r="D575" s="7" t="n">
        <v>3</v>
      </c>
      <c r="E575" s="6" t="inlineStr">
        <is>
          <t>건진법</t>
        </is>
      </c>
      <c r="F575" s="8" t="inlineStr">
        <is>
          <t>벌점기준_균열과 열화</t>
        </is>
      </c>
      <c r="G575" s="24" t="inlineStr">
        <is>
          <t>건설기술진흥법에서 정한 벌점의 정의와 콘크리트면의 균열 발생 시 건설사업자 및 건설기술인에 대한 벌점 측정기준과 벌점 적용 절차에 대하여 설명하시오.</t>
        </is>
      </c>
    </row>
    <row r="576" ht="33" customHeight="1" s="77">
      <c r="A576" s="6" t="n">
        <v>172</v>
      </c>
      <c r="B576" s="145" t="n">
        <v>120</v>
      </c>
      <c r="C576" s="146" t="n">
        <v>2</v>
      </c>
      <c r="D576" s="7" t="n">
        <v>4</v>
      </c>
      <c r="E576" s="6" t="inlineStr">
        <is>
          <t>터널</t>
        </is>
      </c>
      <c r="F576" s="8" t="inlineStr">
        <is>
          <t>보조공법</t>
        </is>
      </c>
      <c r="G576" s="24" t="inlineStr">
        <is>
          <t>숏크리트(Shotcrete)타설 시 리바운드(Rebound)량이 증가할수록 품질이 저하되는데 숏크리트 리바운드 발생 원인과 저감 대책을 설명하시오.</t>
        </is>
      </c>
    </row>
    <row r="577">
      <c r="A577" s="6" t="n">
        <v>173</v>
      </c>
      <c r="B577" s="145" t="n">
        <v>120</v>
      </c>
      <c r="C577" s="146" t="n">
        <v>2</v>
      </c>
      <c r="D577" s="7" t="n">
        <v>5</v>
      </c>
      <c r="E577" s="6" t="inlineStr">
        <is>
          <t>건설기계</t>
        </is>
      </c>
      <c r="F577" s="8" t="inlineStr">
        <is>
          <t>타워크레인</t>
        </is>
      </c>
      <c r="G577" s="24" t="inlineStr">
        <is>
          <t>건설현장에서 타워크레인의 안전사고를 예방하기 위한 안전성 강화방안의 주요 내용에 대하여 설명하시오.</t>
        </is>
      </c>
    </row>
    <row r="578">
      <c r="A578" s="6" t="n">
        <v>174</v>
      </c>
      <c r="B578" s="145" t="n">
        <v>120</v>
      </c>
      <c r="C578" s="146" t="n">
        <v>2</v>
      </c>
      <c r="D578" s="7" t="n">
        <v>6</v>
      </c>
      <c r="E578" s="6" t="inlineStr">
        <is>
          <t>안전관리론</t>
        </is>
      </c>
      <c r="F578" s="8" t="inlineStr">
        <is>
          <t>인간공학</t>
        </is>
      </c>
      <c r="G578" s="24" t="inlineStr">
        <is>
          <t>인간공학에서 실수의 분류를 열거하고 실수의 원인과 대책에 대하여 설명하시오.</t>
        </is>
      </c>
    </row>
    <row r="579" ht="33" customHeight="1" s="77">
      <c r="A579" s="6" t="n">
        <v>175</v>
      </c>
      <c r="B579" s="145" t="n">
        <v>120</v>
      </c>
      <c r="C579" s="146" t="n">
        <v>3</v>
      </c>
      <c r="D579" s="7" t="n">
        <v>1</v>
      </c>
      <c r="E579" s="6" t="inlineStr">
        <is>
          <t>콘크리트</t>
        </is>
      </c>
      <c r="F579" s="8" t="inlineStr">
        <is>
          <t>균열과 열화</t>
        </is>
      </c>
      <c r="G579" s="24" t="inlineStr">
        <is>
          <t>콘크리트 구조물의 열화에 영향을 미치는 인자들의 상호 관계 및 내구성 향상을 위한 방안에 대하여 설명하시오.</t>
        </is>
      </c>
    </row>
    <row r="580" ht="33" customHeight="1" s="77">
      <c r="A580" s="6" t="n">
        <v>176</v>
      </c>
      <c r="B580" s="145" t="n">
        <v>120</v>
      </c>
      <c r="C580" s="146" t="n">
        <v>3</v>
      </c>
      <c r="D580" s="7" t="n">
        <v>2</v>
      </c>
      <c r="E580" s="6" t="inlineStr">
        <is>
          <t>산안법</t>
        </is>
      </c>
      <c r="F580" s="8" t="inlineStr">
        <is>
          <t>KOSHA-MS</t>
        </is>
      </c>
      <c r="G580" s="24" t="inlineStr">
        <is>
          <t>건설업 KOSHA-MS관련 종합건설업체 본사분야의 “리더십과 근로자의 참여” 인증 항목 중 리더십과 의지표명, 근로자의 참여 및 협의 항목의 인증기준에 대하여 설명 하시오.</t>
        </is>
      </c>
    </row>
    <row r="581">
      <c r="A581" s="6" t="n">
        <v>177</v>
      </c>
      <c r="B581" s="145" t="n">
        <v>120</v>
      </c>
      <c r="C581" s="146" t="n">
        <v>3</v>
      </c>
      <c r="D581" s="7" t="n">
        <v>3</v>
      </c>
      <c r="E581" s="6" t="inlineStr">
        <is>
          <t>토공</t>
        </is>
      </c>
      <c r="F581" s="8" t="inlineStr">
        <is>
          <t>측방유동</t>
        </is>
      </c>
      <c r="G581" s="24" t="inlineStr">
        <is>
          <t>교량공사 중 발생하는 교대의 측방유동 발생원인 및 방지대책에 대하여 설명하시오.</t>
        </is>
      </c>
    </row>
    <row r="582">
      <c r="A582" s="6" t="n">
        <v>178</v>
      </c>
      <c r="B582" s="145" t="n">
        <v>120</v>
      </c>
      <c r="C582" s="146" t="n">
        <v>3</v>
      </c>
      <c r="D582" s="7" t="n">
        <v>4</v>
      </c>
      <c r="E582" s="6" t="inlineStr">
        <is>
          <t>안전관리론</t>
        </is>
      </c>
      <c r="F582" s="8" t="inlineStr">
        <is>
          <t>안전교육</t>
        </is>
      </c>
      <c r="G582" s="24" t="inlineStr">
        <is>
          <t>기업 내 정형교육과 비정형교육을 열거하고 건설안전교육 활성화 방안에 대하여 설명하시오.</t>
        </is>
      </c>
    </row>
    <row r="583" ht="33" customHeight="1" s="77">
      <c r="A583" s="6" t="n">
        <v>179</v>
      </c>
      <c r="B583" s="145" t="n">
        <v>120</v>
      </c>
      <c r="C583" s="146" t="n">
        <v>3</v>
      </c>
      <c r="D583" s="7" t="n">
        <v>5</v>
      </c>
      <c r="E583" s="6" t="inlineStr">
        <is>
          <t>건설기계</t>
        </is>
      </c>
      <c r="F583" s="8" t="inlineStr">
        <is>
          <t>지게차</t>
        </is>
      </c>
      <c r="G583" s="24" t="inlineStr">
        <is>
          <t>지게차의 작업 상태별 안정도 및 주요 위험요인을 열거하고, 재해예방을 위한 안전 대책에 대하여 설명하시오.</t>
        </is>
      </c>
    </row>
    <row r="584">
      <c r="A584" s="6" t="n">
        <v>180</v>
      </c>
      <c r="B584" s="145" t="n">
        <v>120</v>
      </c>
      <c r="C584" s="146" t="n">
        <v>3</v>
      </c>
      <c r="D584" s="7" t="n">
        <v>6</v>
      </c>
      <c r="E584" s="6" t="inlineStr">
        <is>
          <t>안전관리론</t>
        </is>
      </c>
      <c r="F584" s="8" t="inlineStr">
        <is>
          <t>안전심리_인간행동방정식</t>
        </is>
      </c>
      <c r="G584" s="24" t="inlineStr">
        <is>
          <t>인간행동방정식과 P와 E의 구성요인을 열거하고, 운전자 지각반응시간에 대하여 설명하시오.</t>
        </is>
      </c>
    </row>
    <row r="585" ht="33" customHeight="1" s="77">
      <c r="A585" s="6" t="n">
        <v>181</v>
      </c>
      <c r="B585" s="145" t="n">
        <v>120</v>
      </c>
      <c r="C585" s="146" t="n">
        <v>4</v>
      </c>
      <c r="D585" s="7" t="n">
        <v>1</v>
      </c>
      <c r="E585" s="6" t="inlineStr">
        <is>
          <t>건진법</t>
        </is>
      </c>
      <c r="F585" s="8" t="inlineStr">
        <is>
          <t>안전점검</t>
        </is>
      </c>
      <c r="G585" s="24" t="inlineStr">
        <is>
          <t>25층 건축물 건설공사 시 건설기술진흥법에서 정한 안전점검의 종류와 실시 시기 및 내용에 대하여 설명하시오.</t>
        </is>
      </c>
    </row>
    <row r="586" ht="33" customHeight="1" s="77">
      <c r="A586" s="6" t="n">
        <v>182</v>
      </c>
      <c r="B586" s="145" t="n">
        <v>120</v>
      </c>
      <c r="C586" s="146" t="n">
        <v>4</v>
      </c>
      <c r="D586" s="7" t="n">
        <v>2</v>
      </c>
      <c r="E586" s="6" t="inlineStr">
        <is>
          <t>건진법</t>
        </is>
      </c>
      <c r="F586" s="8" t="inlineStr">
        <is>
          <t>DFS</t>
        </is>
      </c>
      <c r="G586" s="24" t="inlineStr">
        <is>
          <t>건설기술진흥법에서 정한 설계의 안전성 검토 대상과 절차 및 설계안전검토보고서에 포함되어야 하는 내용에 대하여 설명하시오.</t>
        </is>
      </c>
    </row>
    <row r="587">
      <c r="A587" s="6" t="n">
        <v>183</v>
      </c>
      <c r="B587" s="145" t="n">
        <v>120</v>
      </c>
      <c r="C587" s="146" t="n">
        <v>4</v>
      </c>
      <c r="D587" s="7" t="n">
        <v>3</v>
      </c>
      <c r="E587" s="6" t="inlineStr">
        <is>
          <t>교량</t>
        </is>
      </c>
      <c r="F587" s="8" t="inlineStr">
        <is>
          <t>교량받침</t>
        </is>
      </c>
      <c r="G587" s="24" t="inlineStr">
        <is>
          <t>교량 받침(Bearing)의 파손 발생원인 및 방지대책에 대하여 설명하시오.</t>
        </is>
      </c>
    </row>
    <row r="588" ht="33" customHeight="1" s="77">
      <c r="A588" s="6" t="n">
        <v>184</v>
      </c>
      <c r="B588" s="145" t="n">
        <v>120</v>
      </c>
      <c r="C588" s="146" t="n">
        <v>4</v>
      </c>
      <c r="D588" s="7" t="n">
        <v>4</v>
      </c>
      <c r="E588" s="6" t="inlineStr">
        <is>
          <t>기초</t>
        </is>
      </c>
      <c r="F588" s="8" t="inlineStr">
        <is>
          <t>흙막이</t>
        </is>
      </c>
      <c r="G588" s="24" t="inlineStr">
        <is>
          <t>도심지에서 흙막이 벽체 시공 시 근접구조물의 지반침하가 발생하는 원인 및 침하 방지대책에 대하여 설명하시오.</t>
        </is>
      </c>
    </row>
    <row r="589" ht="33" customHeight="1" s="77">
      <c r="A589" s="6" t="n">
        <v>185</v>
      </c>
      <c r="B589" s="145" t="n">
        <v>120</v>
      </c>
      <c r="C589" s="146" t="n">
        <v>4</v>
      </c>
      <c r="D589" s="7" t="n">
        <v>5</v>
      </c>
      <c r="E589" s="6" t="inlineStr">
        <is>
          <t>산안법</t>
        </is>
      </c>
      <c r="F589" s="8" t="inlineStr">
        <is>
          <t>안전보건대장</t>
        </is>
      </c>
      <c r="G589" s="24" t="inlineStr">
        <is>
          <t>건설공사 발주자의 산업재해예방조치와 관련하여 발주자와 설계자 및 시공자는 계획, 설계, 시공단계에서 안전관리대장을 작성해야 한다. 안전관리대장의 종류 및 작성사항에 대하여 설명하시오.</t>
        </is>
      </c>
    </row>
    <row r="590" ht="33" customHeight="1" s="77">
      <c r="A590" s="6" t="n">
        <v>186</v>
      </c>
      <c r="B590" s="145" t="n">
        <v>120</v>
      </c>
      <c r="C590" s="146" t="n">
        <v>4</v>
      </c>
      <c r="D590" s="7" t="n">
        <v>6</v>
      </c>
      <c r="E590" s="6" t="inlineStr">
        <is>
          <t>콘크리트</t>
        </is>
      </c>
      <c r="F590" s="8" t="inlineStr">
        <is>
          <t>거푸집_데크플레이트</t>
        </is>
      </c>
      <c r="G590" s="24" t="inlineStr">
        <is>
          <t>데크플레이트 설치공사 시 발생하는 재해유형과 시공단계별 고려사항, 문제점 및 안전 관리 강화방안에 대하여 설명하시오.</t>
        </is>
      </c>
    </row>
    <row r="591">
      <c r="A591" s="6" t="n">
        <v>187</v>
      </c>
      <c r="B591" s="145" t="n">
        <v>119</v>
      </c>
      <c r="C591" s="146" t="n">
        <v>1</v>
      </c>
      <c r="D591" s="7" t="n">
        <v>1</v>
      </c>
      <c r="E591" s="6" t="inlineStr">
        <is>
          <t>안전관리론</t>
        </is>
      </c>
      <c r="F591" s="8" t="inlineStr">
        <is>
          <t>안전관리이론</t>
        </is>
      </c>
      <c r="G591" s="24" t="inlineStr">
        <is>
          <t>웨버(Weaver)의 사고연쇄반응이론</t>
        </is>
      </c>
    </row>
    <row r="592">
      <c r="A592" s="6" t="n">
        <v>188</v>
      </c>
      <c r="B592" s="145" t="n">
        <v>119</v>
      </c>
      <c r="C592" s="146" t="n">
        <v>1</v>
      </c>
      <c r="D592" s="7" t="n">
        <v>2</v>
      </c>
      <c r="E592" s="6" t="inlineStr">
        <is>
          <t>안전관리론</t>
        </is>
      </c>
      <c r="F592" s="8" t="inlineStr">
        <is>
          <t>안전심리_안전심리5대요소</t>
        </is>
      </c>
      <c r="G592" s="24" t="inlineStr">
        <is>
          <t>안전심리 5대 요소</t>
        </is>
      </c>
    </row>
    <row r="593">
      <c r="A593" s="6" t="n">
        <v>189</v>
      </c>
      <c r="B593" s="145" t="n">
        <v>119</v>
      </c>
      <c r="C593" s="146" t="n">
        <v>1</v>
      </c>
      <c r="D593" s="7" t="n">
        <v>3</v>
      </c>
      <c r="E593" s="6" t="inlineStr">
        <is>
          <t>시설물안전법</t>
        </is>
      </c>
      <c r="F593" s="8" t="inlineStr">
        <is>
          <t>성능평가</t>
        </is>
      </c>
      <c r="G593" s="24" t="inlineStr">
        <is>
          <t>안전점검 등 성능평가를 실시할 수 있는 책임기술자의 자격</t>
        </is>
      </c>
    </row>
    <row r="594">
      <c r="A594" s="6" t="n">
        <v>190</v>
      </c>
      <c r="B594" s="145" t="n">
        <v>119</v>
      </c>
      <c r="C594" s="146" t="n">
        <v>1</v>
      </c>
      <c r="D594" s="7" t="n">
        <v>4</v>
      </c>
      <c r="E594" s="6" t="inlineStr">
        <is>
          <t>콘크리트</t>
        </is>
      </c>
      <c r="F594" s="8" t="inlineStr">
        <is>
          <t>양생</t>
        </is>
      </c>
      <c r="G594" s="24" t="inlineStr">
        <is>
          <t>봉함양생</t>
        </is>
      </c>
    </row>
    <row r="595">
      <c r="A595" s="6" t="n">
        <v>191</v>
      </c>
      <c r="B595" s="145" t="n">
        <v>119</v>
      </c>
      <c r="C595" s="146" t="n">
        <v>1</v>
      </c>
      <c r="D595" s="7" t="n">
        <v>5</v>
      </c>
      <c r="E595" s="6" t="inlineStr">
        <is>
          <t>토공</t>
        </is>
      </c>
      <c r="F595" s="8" t="inlineStr">
        <is>
          <t>간극비</t>
        </is>
      </c>
      <c r="G595" s="24" t="inlineStr">
        <is>
          <t>흙의 간극비(void ratio)</t>
        </is>
      </c>
    </row>
    <row r="596">
      <c r="A596" s="6" t="n">
        <v>192</v>
      </c>
      <c r="B596" s="145" t="n">
        <v>119</v>
      </c>
      <c r="C596" s="146" t="n">
        <v>1</v>
      </c>
      <c r="D596" s="7" t="n">
        <v>6</v>
      </c>
      <c r="E596" s="6" t="inlineStr">
        <is>
          <t>지특법</t>
        </is>
      </c>
      <c r="F596" s="8" t="inlineStr">
        <is>
          <t>지하안전평가</t>
        </is>
      </c>
      <c r="G596" s="24" t="inlineStr">
        <is>
          <t>지하안전영향평가 대상 및 방법</t>
        </is>
      </c>
    </row>
    <row r="597" customFormat="1" s="1">
      <c r="A597" s="6" t="n">
        <v>193</v>
      </c>
      <c r="B597" s="145" t="n">
        <v>119</v>
      </c>
      <c r="C597" s="146" t="n">
        <v>1</v>
      </c>
      <c r="D597" s="7" t="n">
        <v>7</v>
      </c>
      <c r="E597" s="6" t="inlineStr">
        <is>
          <t>토공</t>
        </is>
      </c>
      <c r="F597" s="8" t="inlineStr">
        <is>
          <t>사질토 점성토</t>
        </is>
      </c>
      <c r="G597" s="24" t="inlineStr">
        <is>
          <t>Quick Sand</t>
        </is>
      </c>
    </row>
    <row r="598" customFormat="1" s="1">
      <c r="A598" s="6" t="n">
        <v>194</v>
      </c>
      <c r="B598" s="145" t="n">
        <v>119</v>
      </c>
      <c r="C598" s="146" t="n">
        <v>1</v>
      </c>
      <c r="D598" s="7" t="n">
        <v>8</v>
      </c>
      <c r="E598" s="6" t="inlineStr">
        <is>
          <t>가설공사</t>
        </is>
      </c>
      <c r="F598" s="8" t="inlineStr">
        <is>
          <t>안전난간</t>
        </is>
      </c>
      <c r="G598" s="24" t="inlineStr">
        <is>
          <t>안전난간의 구조 및 설치요건</t>
        </is>
      </c>
    </row>
    <row r="599" customFormat="1" s="1">
      <c r="A599" s="6" t="n">
        <v>195</v>
      </c>
      <c r="B599" s="145" t="n">
        <v>119</v>
      </c>
      <c r="C599" s="146" t="n">
        <v>1</v>
      </c>
      <c r="D599" s="7" t="n">
        <v>9</v>
      </c>
      <c r="E599" s="6" t="inlineStr">
        <is>
          <t>건진법</t>
        </is>
      </c>
      <c r="F599" s="8" t="inlineStr">
        <is>
          <t>CSI</t>
        </is>
      </c>
      <c r="G599" s="24" t="inlineStr">
        <is>
          <t>건설공사 안전관리 종합정보망(CSI)</t>
        </is>
      </c>
    </row>
    <row r="600" customFormat="1" s="1">
      <c r="A600" s="6" t="n">
        <v>196</v>
      </c>
      <c r="B600" s="145" t="n">
        <v>119</v>
      </c>
      <c r="C600" s="146" t="n">
        <v>1</v>
      </c>
      <c r="D600" s="7" t="n">
        <v>10</v>
      </c>
      <c r="E600" s="6" t="inlineStr">
        <is>
          <t>시설물안전법</t>
        </is>
      </c>
      <c r="F600" s="8" t="inlineStr">
        <is>
          <t>중대한 결함</t>
        </is>
      </c>
      <c r="G600" s="24" t="inlineStr">
        <is>
          <t>시설물의 중대한 결함</t>
        </is>
      </c>
    </row>
    <row r="601" customFormat="1" s="1">
      <c r="A601" s="6" t="n">
        <v>197</v>
      </c>
      <c r="B601" s="145" t="n">
        <v>119</v>
      </c>
      <c r="C601" s="146" t="n">
        <v>1</v>
      </c>
      <c r="D601" s="7" t="n">
        <v>11</v>
      </c>
      <c r="E601" s="6" t="inlineStr">
        <is>
          <t>교량</t>
        </is>
      </c>
      <c r="F601" s="8" t="inlineStr">
        <is>
          <t>교량가설</t>
        </is>
      </c>
      <c r="G601" s="24" t="inlineStr">
        <is>
          <t>프리캐스트 세그멘탈 공법(Precast Prestressed Segmental Method)</t>
        </is>
      </c>
    </row>
    <row r="602" customFormat="1" s="1">
      <c r="A602" s="6" t="n">
        <v>198</v>
      </c>
      <c r="B602" s="145" t="n">
        <v>119</v>
      </c>
      <c r="C602" s="146" t="n">
        <v>1</v>
      </c>
      <c r="D602" s="7" t="n">
        <v>12</v>
      </c>
      <c r="E602" s="6" t="inlineStr">
        <is>
          <t>토공</t>
        </is>
      </c>
      <c r="F602" s="8" t="inlineStr">
        <is>
          <t>사면안정</t>
        </is>
      </c>
      <c r="G602" s="24" t="inlineStr">
        <is>
          <t>암반사면의 붕괴형태</t>
        </is>
      </c>
    </row>
    <row r="603" customFormat="1" s="1">
      <c r="A603" s="6" t="n">
        <v>199</v>
      </c>
      <c r="B603" s="145" t="n">
        <v>119</v>
      </c>
      <c r="C603" s="146" t="n">
        <v>1</v>
      </c>
      <c r="D603" s="7" t="n">
        <v>13</v>
      </c>
      <c r="E603" s="6" t="inlineStr">
        <is>
          <t>콘크리트</t>
        </is>
      </c>
      <c r="F603" s="8" t="inlineStr">
        <is>
          <t>철근_과소철근보</t>
        </is>
      </c>
      <c r="G603" s="24" t="inlineStr">
        <is>
          <t>과소철근보</t>
        </is>
      </c>
    </row>
    <row r="604" customFormat="1" s="1">
      <c r="A604" s="6" t="n">
        <v>200</v>
      </c>
      <c r="B604" s="145" t="n">
        <v>119</v>
      </c>
      <c r="C604" s="146" t="n">
        <v>2</v>
      </c>
      <c r="D604" s="7" t="n">
        <v>1</v>
      </c>
      <c r="E604" s="6" t="inlineStr">
        <is>
          <t>건진법</t>
        </is>
      </c>
      <c r="F604" s="8" t="inlineStr">
        <is>
          <t>안전관리계획서</t>
        </is>
      </c>
      <c r="G604" s="24" t="inlineStr">
        <is>
          <t>안전관리계획서 작성내용 중 건축공사 주요 공종별 검토항목에 대하여 설명하시오.</t>
        </is>
      </c>
    </row>
    <row r="605" ht="33" customFormat="1" customHeight="1" s="1">
      <c r="A605" s="6" t="n">
        <v>201</v>
      </c>
      <c r="B605" s="145" t="n">
        <v>119</v>
      </c>
      <c r="C605" s="146" t="n">
        <v>2</v>
      </c>
      <c r="D605" s="7" t="n">
        <v>2</v>
      </c>
      <c r="E605" s="6" t="inlineStr">
        <is>
          <t>콘크리트</t>
        </is>
      </c>
      <c r="F605" s="8" t="inlineStr">
        <is>
          <t>균열과 열화</t>
        </is>
      </c>
      <c r="G605" s="24" t="inlineStr">
        <is>
          <t>콘크리트 구조물에 작용하는 하중의 종류를 기술하고 이에 대한 균열의 특징과 제어대책에 대하여 설명하시오.</t>
        </is>
      </c>
    </row>
    <row r="606" customFormat="1" s="1">
      <c r="A606" s="6" t="n">
        <v>202</v>
      </c>
      <c r="B606" s="145" t="n">
        <v>119</v>
      </c>
      <c r="C606" s="146" t="n">
        <v>2</v>
      </c>
      <c r="D606" s="7" t="n">
        <v>3</v>
      </c>
      <c r="E606" s="6" t="inlineStr">
        <is>
          <t>가설공사</t>
        </is>
      </c>
      <c r="F606" s="8" t="inlineStr">
        <is>
          <t>시스템 동바리</t>
        </is>
      </c>
      <c r="G606" s="24" t="inlineStr">
        <is>
          <t>시스템동바리의 붕괴유발요인 및 설계단계의 안전성 확보방안에 대하여 설명하시오.</t>
        </is>
      </c>
    </row>
    <row r="607" customFormat="1" s="1">
      <c r="A607" s="6" t="n">
        <v>203</v>
      </c>
      <c r="B607" s="145" t="n">
        <v>119</v>
      </c>
      <c r="C607" s="146" t="n">
        <v>2</v>
      </c>
      <c r="D607" s="7" t="n">
        <v>4</v>
      </c>
      <c r="E607" s="6" t="inlineStr">
        <is>
          <t>산안법</t>
        </is>
      </c>
      <c r="F607" s="8" t="inlineStr">
        <is>
          <t>작업중지</t>
        </is>
      </c>
      <c r="G607" s="24" t="inlineStr">
        <is>
          <t>건설공사에서 작업 중지 기준을 설명하시오</t>
        </is>
      </c>
    </row>
    <row r="608" ht="33" customFormat="1" customHeight="1" s="1">
      <c r="A608" s="6" t="n">
        <v>204</v>
      </c>
      <c r="B608" s="145" t="n">
        <v>119</v>
      </c>
      <c r="C608" s="146" t="n">
        <v>2</v>
      </c>
      <c r="D608" s="7" t="n">
        <v>5</v>
      </c>
      <c r="E608" s="6" t="inlineStr">
        <is>
          <t>안전관리론</t>
        </is>
      </c>
      <c r="F608" s="8" t="inlineStr">
        <is>
          <t>안전관리이론</t>
        </is>
      </c>
      <c r="G608" s="24" t="inlineStr">
        <is>
          <t>건설현장의 사고와 재해의 위험요인(기계적 위험, 화학적 위험, 에너지 위험, 작업적 위험)과 이에 대한 재해예방대책을 설명하시오.</t>
        </is>
      </c>
    </row>
    <row r="609" customFormat="1" s="1">
      <c r="A609" s="6" t="n">
        <v>205</v>
      </c>
      <c r="B609" s="145" t="n">
        <v>119</v>
      </c>
      <c r="C609" s="146" t="n">
        <v>2</v>
      </c>
      <c r="D609" s="7" t="n">
        <v>6</v>
      </c>
      <c r="E609" s="6" t="inlineStr">
        <is>
          <t>강재</t>
        </is>
      </c>
      <c r="F609" s="8" t="inlineStr">
        <is>
          <t>용접 및 용단</t>
        </is>
      </c>
      <c r="G609" s="24" t="inlineStr">
        <is>
          <t>강재구조물의 현장 비파괴시험법을 설명하시오.</t>
        </is>
      </c>
    </row>
    <row r="610" customFormat="1" s="1">
      <c r="A610" s="6" t="n">
        <v>206</v>
      </c>
      <c r="B610" s="145" t="n">
        <v>119</v>
      </c>
      <c r="C610" s="146" t="n">
        <v>3</v>
      </c>
      <c r="D610" s="7" t="n">
        <v>1</v>
      </c>
      <c r="E610" s="6" t="inlineStr">
        <is>
          <t>건진법</t>
        </is>
      </c>
      <c r="F610" s="8" t="inlineStr">
        <is>
          <t>안전관리업무</t>
        </is>
      </c>
      <c r="G610" s="24" t="inlineStr">
        <is>
          <t>「건설기술진흥법」상 건설사업관리기술자의 공사 시행 중 안전관리업무에 대하여 설명하시오.</t>
        </is>
      </c>
    </row>
    <row r="611" customFormat="1" s="1">
      <c r="A611" s="6" t="n">
        <v>207</v>
      </c>
      <c r="B611" s="145" t="n">
        <v>119</v>
      </c>
      <c r="C611" s="146" t="n">
        <v>3</v>
      </c>
      <c r="D611" s="7" t="n">
        <v>2</v>
      </c>
      <c r="E611" s="6" t="inlineStr">
        <is>
          <t>기초</t>
        </is>
      </c>
      <c r="F611" s="8" t="inlineStr">
        <is>
          <t>부력 양압력 부상</t>
        </is>
      </c>
      <c r="G611" s="24" t="inlineStr">
        <is>
          <t>건축구조물의 부력 발생원인과 부상방지 공법별 특징 및 중점안전관리대책에 대하여 설명하시오.</t>
        </is>
      </c>
    </row>
    <row r="612" customFormat="1" s="1">
      <c r="A612" s="6" t="n">
        <v>208</v>
      </c>
      <c r="B612" s="145" t="n">
        <v>119</v>
      </c>
      <c r="C612" s="146" t="n">
        <v>3</v>
      </c>
      <c r="D612" s="7" t="n">
        <v>3</v>
      </c>
      <c r="E612" s="6" t="inlineStr">
        <is>
          <t>재해유형</t>
        </is>
      </c>
      <c r="F612" s="8" t="inlineStr">
        <is>
          <t>전기재해</t>
        </is>
      </c>
      <c r="G612" s="24" t="inlineStr">
        <is>
          <t>화재발생 원인 중 정전기 발생 메커니즘과 정전기에 의한 화재 및 폭발 예방대책에 대하여 설명하시오.</t>
        </is>
      </c>
    </row>
    <row r="613" ht="33" customHeight="1" s="77">
      <c r="A613" s="6" t="n">
        <v>209</v>
      </c>
      <c r="B613" s="145" t="n">
        <v>119</v>
      </c>
      <c r="C613" s="146" t="n">
        <v>3</v>
      </c>
      <c r="D613" s="7" t="n">
        <v>4</v>
      </c>
      <c r="E613" s="6" t="inlineStr">
        <is>
          <t>건진법</t>
        </is>
      </c>
      <c r="F613" s="8" t="inlineStr">
        <is>
          <t>추락사고방지</t>
        </is>
      </c>
      <c r="G613" s="24" t="inlineStr">
        <is>
          <t>「건설현장 추락사고방지 종합대책」에 따른 공사현장 추락사고 방지대책을 설계단계와 시공단계로 나누어 설명하시오.</t>
        </is>
      </c>
    </row>
    <row r="614">
      <c r="A614" s="6" t="n">
        <v>210</v>
      </c>
      <c r="B614" s="145" t="n">
        <v>119</v>
      </c>
      <c r="C614" s="146" t="n">
        <v>3</v>
      </c>
      <c r="D614" s="7" t="n">
        <v>5</v>
      </c>
      <c r="E614" s="6" t="inlineStr">
        <is>
          <t>산안법</t>
        </is>
      </c>
      <c r="F614" s="8" t="inlineStr">
        <is>
          <t>작업환경측정 개선</t>
        </is>
      </c>
      <c r="G614" s="24" t="inlineStr">
        <is>
          <t>건설현장의 작업환경측정기준과 작업환경개선대책에 대하여 설명하시오.</t>
        </is>
      </c>
    </row>
    <row r="615">
      <c r="A615" s="6" t="n">
        <v>211</v>
      </c>
      <c r="B615" s="145" t="n">
        <v>119</v>
      </c>
      <c r="C615" s="146" t="n">
        <v>3</v>
      </c>
      <c r="D615" s="7" t="n">
        <v>6</v>
      </c>
      <c r="E615" s="6" t="inlineStr">
        <is>
          <t>콘크리트</t>
        </is>
      </c>
      <c r="F615" s="8" t="inlineStr">
        <is>
          <t>거푸집_측압</t>
        </is>
      </c>
      <c r="G615" s="24" t="inlineStr">
        <is>
          <t>거푸집에 적용되는 설계하중의 종류와 콘크리트 타설 시 콘크리트 측압의 감소방안을 설명하시오.</t>
        </is>
      </c>
    </row>
    <row r="616">
      <c r="A616" s="6" t="n">
        <v>212</v>
      </c>
      <c r="B616" s="145" t="n">
        <v>119</v>
      </c>
      <c r="C616" s="146" t="n">
        <v>4</v>
      </c>
      <c r="D616" s="7" t="n">
        <v>1</v>
      </c>
      <c r="E616" s="6" t="inlineStr">
        <is>
          <t>지진</t>
        </is>
      </c>
      <c r="F616" s="8" t="inlineStr">
        <is>
          <t>건축내진성능 향상</t>
        </is>
      </c>
      <c r="G616" s="24" t="inlineStr">
        <is>
          <t>건축구조물의 내진성능향상 방법에 대하여 설명하시오.</t>
        </is>
      </c>
    </row>
    <row r="617" ht="33" customHeight="1" s="77">
      <c r="A617" s="6" t="n">
        <v>213</v>
      </c>
      <c r="B617" s="145" t="n">
        <v>119</v>
      </c>
      <c r="C617" s="146" t="n">
        <v>4</v>
      </c>
      <c r="D617" s="7" t="n">
        <v>2</v>
      </c>
      <c r="E617" s="6" t="inlineStr">
        <is>
          <t>건축</t>
        </is>
      </c>
      <c r="F617" s="8" t="inlineStr">
        <is>
          <t>유리열깨짐</t>
        </is>
      </c>
      <c r="G617" s="24" t="inlineStr">
        <is>
          <t>창호와 유리의 요구성능을 각각 설명하고, 유리가 열에 의한 깨짐 현상의 원인과 방지대책에 대하여 설명하시오.</t>
        </is>
      </c>
    </row>
    <row r="618" ht="49.5" customHeight="1" s="77">
      <c r="A618" s="6" t="n">
        <v>214</v>
      </c>
      <c r="B618" s="145" t="n">
        <v>119</v>
      </c>
      <c r="C618" s="146" t="n">
        <v>4</v>
      </c>
      <c r="D618" s="7" t="n">
        <v>3</v>
      </c>
      <c r="E618" s="6" t="inlineStr">
        <is>
          <t>시설물안전법</t>
        </is>
      </c>
      <c r="F618" s="8" t="inlineStr">
        <is>
          <t>건진법, 시설물안전법</t>
        </is>
      </c>
      <c r="G618" s="24" t="inlineStr">
        <is>
          <t>「산업안전보건법」, 「건설기술진흥법」, 「시설물의 안전 및 유지관리에 관한 특별법」에 따른 안전검검 종류를 구분하고, 「시설물의 안전 및 유지관리에 관한 특별법」상 정밀 안전진단 실시시기 및 상태평가방법에 대하여 설명하시오.</t>
        </is>
      </c>
    </row>
    <row r="619">
      <c r="A619" s="6" t="n">
        <v>215</v>
      </c>
      <c r="B619" s="145" t="n">
        <v>119</v>
      </c>
      <c r="C619" s="146" t="n">
        <v>4</v>
      </c>
      <c r="D619" s="7" t="n">
        <v>4</v>
      </c>
      <c r="E619" s="6" t="inlineStr">
        <is>
          <t>토공</t>
        </is>
      </c>
      <c r="F619" s="8" t="inlineStr">
        <is>
          <t>동상현상</t>
        </is>
      </c>
      <c r="G619" s="24" t="inlineStr">
        <is>
          <t>지반의 동상(凍傷)현상이 건설구조물에 미치는 피해사항 및 발생원인과 방지대책을 설명하시오.</t>
        </is>
      </c>
    </row>
    <row r="620">
      <c r="A620" s="6" t="n">
        <v>216</v>
      </c>
      <c r="B620" s="145" t="n">
        <v>119</v>
      </c>
      <c r="C620" s="146" t="n">
        <v>4</v>
      </c>
      <c r="D620" s="7" t="n">
        <v>5</v>
      </c>
      <c r="E620" s="6" t="inlineStr">
        <is>
          <t>교량</t>
        </is>
      </c>
      <c r="F620" s="8" t="inlineStr">
        <is>
          <t>허용응력설계법 극한강도설계법</t>
        </is>
      </c>
      <c r="G620" s="24" t="inlineStr">
        <is>
          <t>허용응력설계법과 극한강도설계법으로 교량의 내하력을 평가하는 방법을 설명하시오.</t>
        </is>
      </c>
    </row>
    <row r="621" ht="33" customHeight="1" s="77">
      <c r="A621" s="6" t="n">
        <v>217</v>
      </c>
      <c r="B621" s="145" t="n">
        <v>119</v>
      </c>
      <c r="C621" s="146" t="n">
        <v>4</v>
      </c>
      <c r="D621" s="7" t="n">
        <v>6</v>
      </c>
      <c r="E621" s="6" t="inlineStr">
        <is>
          <t>교량</t>
        </is>
      </c>
      <c r="F621" s="8" t="inlineStr">
        <is>
          <t>교량가설</t>
        </is>
      </c>
      <c r="G621" s="24" t="inlineStr">
        <is>
          <t>건설공사 중 FCM과 MSS 공법에서 사용되는 교량용 이동식 가설구조물의 안전관리 방안에 대하여 설명하시오.</t>
        </is>
      </c>
    </row>
    <row r="622">
      <c r="A622" s="6" t="n">
        <v>218</v>
      </c>
      <c r="B622" s="145" t="n">
        <v>118</v>
      </c>
      <c r="C622" s="146" t="n">
        <v>1</v>
      </c>
      <c r="D622" s="7" t="n">
        <v>1</v>
      </c>
      <c r="E622" s="6" t="inlineStr">
        <is>
          <t>콘크리트</t>
        </is>
      </c>
      <c r="F622" s="8" t="inlineStr">
        <is>
          <t>철근_피복두께</t>
        </is>
      </c>
      <c r="G622" s="24" t="inlineStr">
        <is>
          <t>철근콘크리트 공사에서의 철근 피복두께와 간격</t>
        </is>
      </c>
    </row>
    <row r="623">
      <c r="A623" s="6" t="n">
        <v>219</v>
      </c>
      <c r="B623" s="145" t="n">
        <v>118</v>
      </c>
      <c r="C623" s="146" t="n">
        <v>1</v>
      </c>
      <c r="D623" s="7" t="n">
        <v>2</v>
      </c>
      <c r="E623" s="6" t="inlineStr">
        <is>
          <t>토공</t>
        </is>
      </c>
      <c r="F623" s="8" t="inlineStr">
        <is>
          <t>연약지반</t>
        </is>
      </c>
      <c r="G623" s="24" t="inlineStr">
        <is>
          <t xml:space="preserve">지반 액상화현상의 발생원인, 영향 및 방지대책 </t>
        </is>
      </c>
    </row>
    <row r="624">
      <c r="A624" s="6" t="n">
        <v>220</v>
      </c>
      <c r="B624" s="145" t="n">
        <v>118</v>
      </c>
      <c r="C624" s="146" t="n">
        <v>1</v>
      </c>
      <c r="D624" s="7" t="n">
        <v>3</v>
      </c>
      <c r="E624" s="6" t="inlineStr">
        <is>
          <t>콘크리트</t>
        </is>
      </c>
      <c r="F624" s="8" t="inlineStr">
        <is>
          <t>철근_부동태피막</t>
        </is>
      </c>
      <c r="G624" s="24" t="inlineStr">
        <is>
          <t xml:space="preserve">철근콘크리트의 부동태피막 </t>
        </is>
      </c>
    </row>
    <row r="625">
      <c r="A625" s="6" t="n">
        <v>221</v>
      </c>
      <c r="B625" s="145" t="n">
        <v>118</v>
      </c>
      <c r="C625" s="146" t="n">
        <v>1</v>
      </c>
      <c r="D625" s="7" t="n">
        <v>4</v>
      </c>
      <c r="E625" s="6" t="inlineStr">
        <is>
          <t>가설공사</t>
        </is>
      </c>
      <c r="F625" s="8" t="inlineStr">
        <is>
          <t>통로</t>
        </is>
      </c>
      <c r="G625" s="24" t="inlineStr">
        <is>
          <t xml:space="preserve">통로발판 설치 시 준수사항 </t>
        </is>
      </c>
    </row>
    <row r="626">
      <c r="A626" s="6" t="n">
        <v>222</v>
      </c>
      <c r="B626" s="145" t="n">
        <v>118</v>
      </c>
      <c r="C626" s="146" t="n">
        <v>1</v>
      </c>
      <c r="D626" s="7" t="n">
        <v>5</v>
      </c>
      <c r="E626" s="6" t="inlineStr">
        <is>
          <t>콘크리트</t>
        </is>
      </c>
      <c r="F626" s="8" t="inlineStr">
        <is>
          <t>타설</t>
        </is>
      </c>
      <c r="G626" s="24" t="inlineStr">
        <is>
          <t xml:space="preserve">철근콘크리트의 수직·수평분리타설 시 유의사항 </t>
        </is>
      </c>
    </row>
    <row r="627">
      <c r="A627" s="6" t="n">
        <v>223</v>
      </c>
      <c r="B627" s="145" t="n">
        <v>118</v>
      </c>
      <c r="C627" s="146" t="n">
        <v>1</v>
      </c>
      <c r="D627" s="7" t="n">
        <v>6</v>
      </c>
      <c r="E627" s="6" t="inlineStr">
        <is>
          <t>산안법</t>
        </is>
      </c>
      <c r="F627" s="8" t="inlineStr">
        <is>
          <t>안전인증_안전대</t>
        </is>
      </c>
      <c r="G627" s="24" t="inlineStr">
        <is>
          <t xml:space="preserve">안전대의 종류 및 최하사점 </t>
        </is>
      </c>
    </row>
    <row r="628">
      <c r="A628" s="6" t="n">
        <v>224</v>
      </c>
      <c r="B628" s="145" t="n">
        <v>118</v>
      </c>
      <c r="C628" s="146" t="n">
        <v>1</v>
      </c>
      <c r="D628" s="7" t="n">
        <v>7</v>
      </c>
      <c r="E628" s="6" t="inlineStr">
        <is>
          <t>지진</t>
        </is>
      </c>
      <c r="F628" s="8" t="inlineStr">
        <is>
          <t>건축물</t>
        </is>
      </c>
      <c r="G628" s="24" t="inlineStr">
        <is>
          <t xml:space="preserve">건축물의 지진발생 시에 견딜 수 있는 능력 공개대상 </t>
        </is>
      </c>
    </row>
    <row r="629">
      <c r="A629" s="6" t="n">
        <v>225</v>
      </c>
      <c r="B629" s="145" t="n">
        <v>118</v>
      </c>
      <c r="C629" s="146" t="n">
        <v>1</v>
      </c>
      <c r="D629" s="7" t="n">
        <v>8</v>
      </c>
      <c r="E629" s="6" t="inlineStr">
        <is>
          <t>가설공사</t>
        </is>
      </c>
      <c r="F629" s="8" t="inlineStr">
        <is>
          <t>통로</t>
        </is>
      </c>
      <c r="G629" s="24" t="inlineStr">
        <is>
          <t xml:space="preserve">이동식사다리의 안전작업 기준 </t>
        </is>
      </c>
    </row>
    <row r="630">
      <c r="A630" s="6" t="n">
        <v>226</v>
      </c>
      <c r="B630" s="145" t="n">
        <v>118</v>
      </c>
      <c r="C630" s="146" t="n">
        <v>1</v>
      </c>
      <c r="D630" s="7" t="n">
        <v>9</v>
      </c>
      <c r="E630" s="6" t="inlineStr">
        <is>
          <t>가설공사</t>
        </is>
      </c>
      <c r="F630" s="8" t="inlineStr">
        <is>
          <t>풍압</t>
        </is>
      </c>
      <c r="G630" s="24" t="inlineStr">
        <is>
          <t xml:space="preserve">풍압이 가설구조물에 미치는 영향 </t>
        </is>
      </c>
    </row>
    <row r="631">
      <c r="A631" s="6" t="n">
        <v>227</v>
      </c>
      <c r="B631" s="145" t="n">
        <v>118</v>
      </c>
      <c r="C631" s="146" t="n">
        <v>1</v>
      </c>
      <c r="D631" s="7" t="n">
        <v>10</v>
      </c>
      <c r="E631" s="6" t="inlineStr">
        <is>
          <t>건진법</t>
        </is>
      </c>
      <c r="F631" s="8" t="inlineStr">
        <is>
          <t>DFS</t>
        </is>
      </c>
      <c r="G631" s="24" t="inlineStr">
        <is>
          <t xml:space="preserve">설계안전성검토(Design For Safety) 절차 </t>
        </is>
      </c>
    </row>
    <row r="632">
      <c r="A632" s="6" t="n">
        <v>228</v>
      </c>
      <c r="B632" s="145" t="n">
        <v>118</v>
      </c>
      <c r="C632" s="146" t="n">
        <v>1</v>
      </c>
      <c r="D632" s="7" t="n">
        <v>11</v>
      </c>
      <c r="E632" s="6" t="inlineStr">
        <is>
          <t>산안법</t>
        </is>
      </c>
      <c r="F632" s="8" t="inlineStr">
        <is>
          <t>근골격계 질환</t>
        </is>
      </c>
      <c r="G632" s="24" t="inlineStr">
        <is>
          <t xml:space="preserve">작업자의 스트레칭(Streching) 필요성, 방법 및 효과 </t>
        </is>
      </c>
    </row>
    <row r="633">
      <c r="A633" s="6" t="n">
        <v>229</v>
      </c>
      <c r="B633" s="145" t="n">
        <v>118</v>
      </c>
      <c r="C633" s="146" t="n">
        <v>1</v>
      </c>
      <c r="D633" s="7" t="n">
        <v>12</v>
      </c>
      <c r="E633" s="6" t="inlineStr">
        <is>
          <t>안전관리론</t>
        </is>
      </c>
      <c r="F633" s="8" t="inlineStr">
        <is>
          <t>무재해운동</t>
        </is>
      </c>
      <c r="G633" s="24" t="inlineStr">
        <is>
          <t xml:space="preserve">TBM(Tool Box Meeting) 효과 및 방법 </t>
        </is>
      </c>
    </row>
    <row r="634">
      <c r="A634" s="6" t="n">
        <v>230</v>
      </c>
      <c r="B634" s="145" t="n">
        <v>118</v>
      </c>
      <c r="C634" s="146" t="n">
        <v>1</v>
      </c>
      <c r="D634" s="7" t="n">
        <v>13</v>
      </c>
      <c r="E634" s="6" t="inlineStr">
        <is>
          <t>시설물안전법</t>
        </is>
      </c>
      <c r="F634" s="8" t="inlineStr">
        <is>
          <t>3종 시설물</t>
        </is>
      </c>
      <c r="G634" s="24" t="inlineStr">
        <is>
          <t>제3종시설물 지정 대상 중 토목분야 범위</t>
        </is>
      </c>
    </row>
    <row r="635">
      <c r="A635" s="6" t="n">
        <v>231</v>
      </c>
      <c r="B635" s="145" t="n">
        <v>118</v>
      </c>
      <c r="C635" s="146" t="n">
        <v>2</v>
      </c>
      <c r="D635" s="7" t="n">
        <v>1</v>
      </c>
      <c r="E635" s="6" t="inlineStr">
        <is>
          <t>건축</t>
        </is>
      </c>
      <c r="F635" s="8" t="inlineStr">
        <is>
          <t>무량판슬래브</t>
        </is>
      </c>
      <c r="G635" s="24" t="inlineStr">
        <is>
          <t>무량판 슬래브의 정의, 특징 및 시공 시 유의사항에 대하여 설명하시오.</t>
        </is>
      </c>
    </row>
    <row r="636">
      <c r="A636" s="6" t="n">
        <v>232</v>
      </c>
      <c r="B636" s="145" t="n">
        <v>118</v>
      </c>
      <c r="C636" s="146" t="n">
        <v>2</v>
      </c>
      <c r="D636" s="7" t="n">
        <v>2</v>
      </c>
      <c r="E636" s="6" t="inlineStr">
        <is>
          <t>산안법</t>
        </is>
      </c>
      <c r="F636" s="8" t="inlineStr">
        <is>
          <t>안전보건대장</t>
        </is>
      </c>
      <c r="G636" s="24" t="inlineStr">
        <is>
          <t>건설공사의 진행단계별 발주자의 안전관리 업무에 대하여 설명하시오.</t>
        </is>
      </c>
    </row>
    <row r="637">
      <c r="A637" s="6" t="n">
        <v>233</v>
      </c>
      <c r="B637" s="145" t="n">
        <v>118</v>
      </c>
      <c r="C637" s="146" t="n">
        <v>2</v>
      </c>
      <c r="D637" s="7" t="n">
        <v>3</v>
      </c>
      <c r="E637" s="6" t="inlineStr">
        <is>
          <t>지진</t>
        </is>
      </c>
      <c r="F637" s="8" t="inlineStr">
        <is>
          <t>내진설계</t>
        </is>
      </c>
      <c r="G637" s="24" t="inlineStr">
        <is>
          <t>지진의 특성 및 발생원인과 건축구조물의 내진설계 시 유의사항에 대해서 설명하시오.</t>
        </is>
      </c>
    </row>
    <row r="638">
      <c r="A638" s="6" t="n">
        <v>234</v>
      </c>
      <c r="B638" s="145" t="n">
        <v>118</v>
      </c>
      <c r="C638" s="146" t="n">
        <v>2</v>
      </c>
      <c r="D638" s="7" t="n">
        <v>4</v>
      </c>
      <c r="E638" s="6" t="inlineStr">
        <is>
          <t>계절재해</t>
        </is>
      </c>
      <c r="F638" s="8" t="inlineStr">
        <is>
          <t>미세먼지</t>
        </is>
      </c>
      <c r="G638" s="24" t="inlineStr">
        <is>
          <t>옥외작업자를 위한 미세먼지 대응 건강보호 가이드에 대하여 설명하시오.</t>
        </is>
      </c>
    </row>
    <row r="639">
      <c r="A639" s="6" t="n">
        <v>235</v>
      </c>
      <c r="B639" s="145" t="n">
        <v>118</v>
      </c>
      <c r="C639" s="146" t="n">
        <v>2</v>
      </c>
      <c r="D639" s="7" t="n">
        <v>5</v>
      </c>
      <c r="E639" s="6" t="inlineStr">
        <is>
          <t>안전관리론</t>
        </is>
      </c>
      <c r="F639" s="8" t="inlineStr">
        <is>
          <t>안전심리_피로</t>
        </is>
      </c>
      <c r="G639" s="24" t="inlineStr">
        <is>
          <t>불안전한 행동의 배후요인 중 피로의 종류, 원인 및 회복대책에 대하여 설명하시오.</t>
        </is>
      </c>
    </row>
    <row r="640">
      <c r="A640" s="6" t="n">
        <v>236</v>
      </c>
      <c r="B640" s="145" t="n">
        <v>118</v>
      </c>
      <c r="C640" s="146" t="n">
        <v>2</v>
      </c>
      <c r="D640" s="7" t="n">
        <v>6</v>
      </c>
      <c r="E640" s="6" t="inlineStr">
        <is>
          <t>산안법</t>
        </is>
      </c>
      <c r="F640" s="8" t="inlineStr">
        <is>
          <t>안전보건교육</t>
        </is>
      </c>
      <c r="G640" s="24" t="inlineStr">
        <is>
          <t>건설업에 해당하는 특별안전보건교육의 대상 및 교육시간에 대해서 설명하시오.</t>
        </is>
      </c>
    </row>
    <row r="641" ht="33" customHeight="1" s="77">
      <c r="A641" s="6" t="n">
        <v>237</v>
      </c>
      <c r="B641" s="145" t="n">
        <v>118</v>
      </c>
      <c r="C641" s="146" t="n">
        <v>3</v>
      </c>
      <c r="D641" s="7" t="n">
        <v>1</v>
      </c>
      <c r="E641" s="6" t="inlineStr">
        <is>
          <t>기초</t>
        </is>
      </c>
      <c r="F641" s="8" t="inlineStr">
        <is>
          <t>지하연속벽</t>
        </is>
      </c>
      <c r="G641" s="24" t="inlineStr">
        <is>
          <t>도심지 건설현장에서의 지하연속벽 시공 시 안정액의 정의, 역할, 요구 조건 및 사용 시 주의사항에 대하여 설명하시오.</t>
        </is>
      </c>
    </row>
    <row r="642">
      <c r="A642" s="6" t="n">
        <v>238</v>
      </c>
      <c r="B642" s="145" t="n">
        <v>118</v>
      </c>
      <c r="C642" s="146" t="n">
        <v>3</v>
      </c>
      <c r="D642" s="7" t="n">
        <v>2</v>
      </c>
      <c r="E642" s="6" t="inlineStr">
        <is>
          <t>콘크리트</t>
        </is>
      </c>
      <c r="F642" s="8" t="inlineStr">
        <is>
          <t>철근_작업절차</t>
        </is>
      </c>
      <c r="G642" s="24" t="inlineStr">
        <is>
          <t>건설현장에서 철근의 가공·조립 및 운반 시의 준수사항에 대하여 설명하시오.</t>
        </is>
      </c>
    </row>
    <row r="643">
      <c r="A643" s="6" t="n">
        <v>239</v>
      </c>
      <c r="B643" s="145" t="n">
        <v>118</v>
      </c>
      <c r="C643" s="146" t="n">
        <v>3</v>
      </c>
      <c r="D643" s="7" t="n">
        <v>3</v>
      </c>
      <c r="E643" s="6" t="inlineStr">
        <is>
          <t>토공</t>
        </is>
      </c>
      <c r="F643" s="8" t="inlineStr">
        <is>
          <t>사질토 점성토</t>
        </is>
      </c>
      <c r="G643" s="24" t="inlineStr">
        <is>
          <t>흙으로 축조되는 노반 구조물의 압밀과 다짐에 대하여 설명하시오.</t>
        </is>
      </c>
    </row>
    <row r="644">
      <c r="A644" s="6" t="n">
        <v>240</v>
      </c>
      <c r="B644" s="145" t="n">
        <v>118</v>
      </c>
      <c r="C644" s="146" t="n">
        <v>3</v>
      </c>
      <c r="D644" s="7" t="n">
        <v>4</v>
      </c>
      <c r="E644" s="6" t="inlineStr">
        <is>
          <t>산안법</t>
        </is>
      </c>
      <c r="F644" s="8" t="inlineStr">
        <is>
          <t>산업재해예방활동 실적평가</t>
        </is>
      </c>
      <c r="G644" s="24" t="inlineStr">
        <is>
          <t>건설업체의 산업재해예방활동 실적평가 제도에 대하여 설명하시오.</t>
        </is>
      </c>
    </row>
    <row r="645">
      <c r="A645" s="6" t="n">
        <v>241</v>
      </c>
      <c r="B645" s="145" t="n">
        <v>118</v>
      </c>
      <c r="C645" s="146" t="n">
        <v>3</v>
      </c>
      <c r="D645" s="7" t="n">
        <v>5</v>
      </c>
      <c r="E645" s="6" t="inlineStr">
        <is>
          <t>안전관리론</t>
        </is>
      </c>
      <c r="F645" s="8" t="inlineStr">
        <is>
          <t>재해조사 및 통계</t>
        </is>
      </c>
      <c r="G645" s="24" t="inlineStr">
        <is>
          <t>재해의 원인 분석방법 및 재해통계의 종류에 대하여 설명하시오.</t>
        </is>
      </c>
    </row>
    <row r="646">
      <c r="A646" s="6" t="n">
        <v>242</v>
      </c>
      <c r="B646" s="145" t="n">
        <v>118</v>
      </c>
      <c r="C646" s="146" t="n">
        <v>3</v>
      </c>
      <c r="D646" s="7" t="n">
        <v>6</v>
      </c>
      <c r="E646" s="6" t="inlineStr">
        <is>
          <t>건설기계</t>
        </is>
      </c>
      <c r="F646" s="8" t="inlineStr">
        <is>
          <t>고소작업대</t>
        </is>
      </c>
      <c r="G646" s="24" t="inlineStr">
        <is>
          <t>차량탑재형 고소작업대의 출입문 안전조치와 사용 시 안전대책에 대해서 설명하시오</t>
        </is>
      </c>
    </row>
    <row r="647" ht="33" customHeight="1" s="77">
      <c r="A647" s="6" t="n">
        <v>243</v>
      </c>
      <c r="B647" s="145" t="n">
        <v>118</v>
      </c>
      <c r="C647" s="146" t="n">
        <v>4</v>
      </c>
      <c r="D647" s="7" t="n">
        <v>1</v>
      </c>
      <c r="E647" s="6" t="inlineStr">
        <is>
          <t>콘크리트</t>
        </is>
      </c>
      <c r="F647" s="8" t="inlineStr">
        <is>
          <t>품질관리</t>
        </is>
      </c>
      <c r="G647" s="24" t="inlineStr">
        <is>
          <t>건설현장에서 콘크리트 타설작업 중 우천상황 발생 시 콘크리트의 강도저하 산정방법 및 품질관리방안에 대해서 설명하시오.</t>
        </is>
      </c>
    </row>
    <row r="648">
      <c r="A648" s="6" t="n">
        <v>244</v>
      </c>
      <c r="B648" s="145" t="n">
        <v>118</v>
      </c>
      <c r="C648" s="146" t="n">
        <v>4</v>
      </c>
      <c r="D648" s="7" t="n">
        <v>2</v>
      </c>
      <c r="E648" s="6" t="inlineStr">
        <is>
          <t>콘크리트</t>
        </is>
      </c>
      <c r="F648" s="8" t="inlineStr">
        <is>
          <t>균열과 열화</t>
        </is>
      </c>
      <c r="G648" s="24" t="inlineStr">
        <is>
          <t>콘크리트의 내구성 저하 원인과 방지대책에 대해서 설명하시오.</t>
        </is>
      </c>
    </row>
    <row r="649">
      <c r="A649" s="6" t="n">
        <v>245</v>
      </c>
      <c r="B649" s="145" t="n">
        <v>118</v>
      </c>
      <c r="C649" s="146" t="n">
        <v>4</v>
      </c>
      <c r="D649" s="7" t="n">
        <v>3</v>
      </c>
      <c r="E649" s="6" t="inlineStr">
        <is>
          <t>터널</t>
        </is>
      </c>
      <c r="F649" s="8" t="inlineStr">
        <is>
          <t>보조공법</t>
        </is>
      </c>
      <c r="G649" s="24" t="inlineStr">
        <is>
          <t>터널공사에서 락볼트(Rock bolt) 및 숏크리트(Shotcrete)의 작용효과에 대해서 설명하시오.</t>
        </is>
      </c>
    </row>
    <row r="650">
      <c r="A650" s="6" t="n">
        <v>246</v>
      </c>
      <c r="B650" s="145" t="n">
        <v>118</v>
      </c>
      <c r="C650" s="146" t="n">
        <v>4</v>
      </c>
      <c r="D650" s="7" t="n">
        <v>4</v>
      </c>
      <c r="E650" s="6" t="inlineStr">
        <is>
          <t>시사 이슈 문제</t>
        </is>
      </c>
      <c r="F650" s="8" t="inlineStr">
        <is>
          <t>사망사고 절반줄이기</t>
        </is>
      </c>
      <c r="G650" s="24" t="inlineStr">
        <is>
          <t>정부에서 추진 중인 산재 사망사고 절반 줄이기 대책의 건설 분야 발전방안에 대하여 설명하시오.</t>
        </is>
      </c>
    </row>
    <row r="651" ht="33" customHeight="1" s="77">
      <c r="A651" s="6" t="n">
        <v>247</v>
      </c>
      <c r="B651" s="145" t="n">
        <v>118</v>
      </c>
      <c r="C651" s="146" t="n">
        <v>4</v>
      </c>
      <c r="D651" s="7" t="n">
        <v>5</v>
      </c>
      <c r="E651" s="6" t="inlineStr">
        <is>
          <t>해체공사</t>
        </is>
      </c>
      <c r="F651" s="8" t="inlineStr">
        <is>
          <t>산안법</t>
        </is>
      </c>
      <c r="G651" s="24" t="inlineStr">
        <is>
          <t>산업안전보건기준에 관한 규칙 제38조에 의거 건물 등의 해체작업 시 포함되어야 할 사전조사 및 작업계획서 내용에 대해 설명하시오.</t>
        </is>
      </c>
    </row>
    <row r="652" ht="33" customHeight="1" s="77">
      <c r="A652" s="6" t="n">
        <v>248</v>
      </c>
      <c r="B652" s="145" t="n">
        <v>118</v>
      </c>
      <c r="C652" s="146" t="n">
        <v>4</v>
      </c>
      <c r="D652" s="7" t="n">
        <v>6</v>
      </c>
      <c r="E652" s="6" t="inlineStr">
        <is>
          <t>콘크리트</t>
        </is>
      </c>
      <c r="F652" s="8" t="inlineStr">
        <is>
          <t>거푸집_데크플레이트</t>
        </is>
      </c>
      <c r="G652" s="24" t="inlineStr">
        <is>
          <t>데크플레이트(Deck Plate)공사 시 데크플레이트 걸침길이 관리기준과 주로 발생할 수 있는 3가지 재해유형별 안전대책에 대하여 설명하시오.</t>
        </is>
      </c>
    </row>
    <row r="653">
      <c r="A653" s="6" t="n">
        <v>249</v>
      </c>
      <c r="B653" s="145" t="n">
        <v>117</v>
      </c>
      <c r="C653" s="146" t="n">
        <v>1</v>
      </c>
      <c r="D653" s="7" t="n">
        <v>1</v>
      </c>
      <c r="E653" s="6" t="inlineStr">
        <is>
          <t>산안법</t>
        </is>
      </c>
      <c r="F653" s="8" t="inlineStr">
        <is>
          <t>작업장조도기준</t>
        </is>
      </c>
      <c r="G653" s="24" t="inlineStr">
        <is>
          <t xml:space="preserve">작업장 조도기준 </t>
        </is>
      </c>
    </row>
    <row r="654">
      <c r="A654" s="6" t="n">
        <v>250</v>
      </c>
      <c r="B654" s="145" t="n">
        <v>117</v>
      </c>
      <c r="C654" s="146" t="n">
        <v>1</v>
      </c>
      <c r="D654" s="7" t="n">
        <v>2</v>
      </c>
      <c r="E654" s="6" t="inlineStr">
        <is>
          <t>산안법</t>
        </is>
      </c>
      <c r="F654" s="8" t="inlineStr">
        <is>
          <t>안전보건교육</t>
        </is>
      </c>
      <c r="G654" s="24" t="inlineStr">
        <is>
          <t xml:space="preserve">근로자 안전․보건교육 강사기준 </t>
        </is>
      </c>
    </row>
    <row r="655">
      <c r="A655" s="6" t="n">
        <v>251</v>
      </c>
      <c r="B655" s="145" t="n">
        <v>117</v>
      </c>
      <c r="C655" s="146" t="n">
        <v>1</v>
      </c>
      <c r="D655" s="7" t="n">
        <v>3</v>
      </c>
      <c r="E655" s="6" t="inlineStr">
        <is>
          <t>강재</t>
        </is>
      </c>
      <c r="F655" s="8" t="inlineStr">
        <is>
          <t>용접 및 용단</t>
        </is>
      </c>
      <c r="G655" s="24" t="inlineStr">
        <is>
          <t xml:space="preserve">용접․용단 작업시 불티의 특성 및 비산거리 </t>
        </is>
      </c>
    </row>
    <row r="656">
      <c r="A656" s="6" t="n">
        <v>252</v>
      </c>
      <c r="B656" s="145" t="n">
        <v>117</v>
      </c>
      <c r="C656" s="146" t="n">
        <v>1</v>
      </c>
      <c r="D656" s="7" t="n">
        <v>4</v>
      </c>
      <c r="E656" s="6" t="inlineStr">
        <is>
          <t>기초</t>
        </is>
      </c>
      <c r="F656" s="8" t="inlineStr">
        <is>
          <t>파일</t>
        </is>
      </c>
      <c r="G656" s="24" t="inlineStr">
        <is>
          <t xml:space="preserve">파일기초의 부마찰력 </t>
        </is>
      </c>
    </row>
    <row r="657">
      <c r="A657" s="6" t="n">
        <v>253</v>
      </c>
      <c r="B657" s="145" t="n">
        <v>117</v>
      </c>
      <c r="C657" s="146" t="n">
        <v>1</v>
      </c>
      <c r="D657" s="7" t="n">
        <v>5</v>
      </c>
      <c r="E657" s="6" t="inlineStr">
        <is>
          <t>콘크리트</t>
        </is>
      </c>
      <c r="F657" s="8" t="inlineStr">
        <is>
          <t>배합설계</t>
        </is>
      </c>
      <c r="G657" s="24" t="inlineStr">
        <is>
          <t xml:space="preserve">시방배합과 현장배합 </t>
        </is>
      </c>
    </row>
    <row r="658">
      <c r="A658" s="6" t="n">
        <v>254</v>
      </c>
      <c r="B658" s="145" t="n">
        <v>117</v>
      </c>
      <c r="C658" s="146" t="n">
        <v>1</v>
      </c>
      <c r="D658" s="7" t="n">
        <v>6</v>
      </c>
      <c r="E658" s="6" t="inlineStr">
        <is>
          <t>토공</t>
        </is>
      </c>
      <c r="F658" s="8" t="inlineStr">
        <is>
          <t>동결지수</t>
        </is>
      </c>
      <c r="G658" s="24" t="inlineStr">
        <is>
          <t>동결지수</t>
        </is>
      </c>
    </row>
    <row r="659">
      <c r="A659" s="6" t="n">
        <v>255</v>
      </c>
      <c r="B659" s="145" t="n">
        <v>117</v>
      </c>
      <c r="C659" s="146" t="n">
        <v>1</v>
      </c>
      <c r="D659" s="7" t="n">
        <v>7</v>
      </c>
      <c r="E659" s="6" t="inlineStr">
        <is>
          <t>산안법</t>
        </is>
      </c>
      <c r="F659" s="8" t="inlineStr">
        <is>
          <t>휴게시설</t>
        </is>
      </c>
      <c r="G659" s="24" t="inlineStr">
        <is>
          <t xml:space="preserve">휴게시설의 필요성 및 설치기준 </t>
        </is>
      </c>
    </row>
    <row r="660">
      <c r="A660" s="6" t="n">
        <v>256</v>
      </c>
      <c r="B660" s="145" t="n">
        <v>117</v>
      </c>
      <c r="C660" s="146" t="n">
        <v>1</v>
      </c>
      <c r="D660" s="7" t="n">
        <v>8</v>
      </c>
      <c r="E660" s="6" t="inlineStr">
        <is>
          <t>콘크리트</t>
        </is>
      </c>
      <c r="F660" s="8" t="inlineStr">
        <is>
          <t>균열과 열화</t>
        </is>
      </c>
      <c r="G660" s="24" t="inlineStr">
        <is>
          <t xml:space="preserve">콘크리트 구조물에서 발생하는 화학적 침식 </t>
        </is>
      </c>
    </row>
    <row r="661" customFormat="1" s="1">
      <c r="A661" s="6" t="n">
        <v>257</v>
      </c>
      <c r="B661" s="145" t="n">
        <v>117</v>
      </c>
      <c r="C661" s="146" t="n">
        <v>1</v>
      </c>
      <c r="D661" s="7" t="n">
        <v>9</v>
      </c>
      <c r="E661" s="6" t="inlineStr">
        <is>
          <t>건축</t>
        </is>
      </c>
      <c r="F661" s="8" t="inlineStr">
        <is>
          <t>커튼월</t>
        </is>
      </c>
      <c r="G661" s="24" t="inlineStr">
        <is>
          <t xml:space="preserve">커튼월(Curtain Wall) 구조의 요구성능과 시험방법 </t>
        </is>
      </c>
    </row>
    <row r="662" customFormat="1" s="1">
      <c r="A662" s="6" t="n">
        <v>258</v>
      </c>
      <c r="B662" s="145" t="n">
        <v>117</v>
      </c>
      <c r="C662" s="146" t="n">
        <v>1</v>
      </c>
      <c r="D662" s="7" t="n">
        <v>10</v>
      </c>
      <c r="E662" s="6" t="inlineStr">
        <is>
          <t>안전관리론</t>
        </is>
      </c>
      <c r="F662" s="8" t="inlineStr">
        <is>
          <t>시스템안전</t>
        </is>
      </c>
      <c r="G662" s="24" t="inlineStr">
        <is>
          <t xml:space="preserve">사건수분석(Event Tree Analysis) </t>
        </is>
      </c>
    </row>
    <row r="663" customFormat="1" s="1">
      <c r="A663" s="6" t="n">
        <v>259</v>
      </c>
      <c r="B663" s="145" t="n">
        <v>117</v>
      </c>
      <c r="C663" s="146" t="n">
        <v>1</v>
      </c>
      <c r="D663" s="7" t="n">
        <v>11</v>
      </c>
      <c r="E663" s="6" t="inlineStr">
        <is>
          <t>안전관리론</t>
        </is>
      </c>
      <c r="F663" s="8" t="inlineStr">
        <is>
          <t>안전심리_허즈버그</t>
        </is>
      </c>
      <c r="G663" s="24" t="inlineStr">
        <is>
          <t>허즈버그의 욕구충족요인</t>
        </is>
      </c>
    </row>
    <row r="664" customFormat="1" s="1">
      <c r="A664" s="6" t="n">
        <v>260</v>
      </c>
      <c r="B664" s="145" t="n">
        <v>117</v>
      </c>
      <c r="C664" s="146" t="n">
        <v>1</v>
      </c>
      <c r="D664" s="7" t="n">
        <v>12</v>
      </c>
      <c r="E664" s="6" t="inlineStr">
        <is>
          <t>콘크리트</t>
        </is>
      </c>
      <c r="F664" s="8" t="inlineStr">
        <is>
          <t>비파괴시험 종류 방법</t>
        </is>
      </c>
      <c r="G664" s="24" t="inlineStr">
        <is>
          <t xml:space="preserve">슈미트 해머(Schmidt hammer)에 의한 반발경도 측정방법 </t>
        </is>
      </c>
    </row>
    <row r="665" customFormat="1" s="1">
      <c r="A665" s="6" t="n">
        <v>261</v>
      </c>
      <c r="B665" s="145" t="n">
        <v>117</v>
      </c>
      <c r="C665" s="146" t="n">
        <v>1</v>
      </c>
      <c r="D665" s="7" t="n">
        <v>13</v>
      </c>
      <c r="E665" s="6" t="inlineStr">
        <is>
          <t>건진법</t>
        </is>
      </c>
      <c r="F665" s="8" t="inlineStr">
        <is>
          <t>가설구조물 안전성 확인</t>
        </is>
      </c>
      <c r="G665" s="24" t="inlineStr">
        <is>
          <t>건설기술 진흥법상 가설구조물의 안전성 확인</t>
        </is>
      </c>
    </row>
    <row r="666" customFormat="1" s="1">
      <c r="A666" s="6" t="n">
        <v>262</v>
      </c>
      <c r="B666" s="145" t="n">
        <v>117</v>
      </c>
      <c r="C666" s="146" t="n">
        <v>2</v>
      </c>
      <c r="D666" s="7" t="n">
        <v>1</v>
      </c>
      <c r="E666" s="6" t="inlineStr">
        <is>
          <t>계절재해</t>
        </is>
      </c>
      <c r="F666" s="8" t="inlineStr">
        <is>
          <t>미세먼지</t>
        </is>
      </c>
      <c r="G666" s="24" t="inlineStr">
        <is>
          <t>옥외작업시 미세먼지 대응 건강보호 가이드에 대하여 설명하시오.</t>
        </is>
      </c>
    </row>
    <row r="667" customFormat="1" s="1">
      <c r="A667" s="6" t="n">
        <v>263</v>
      </c>
      <c r="B667" s="145" t="n">
        <v>117</v>
      </c>
      <c r="C667" s="146" t="n">
        <v>2</v>
      </c>
      <c r="D667" s="7" t="n">
        <v>2</v>
      </c>
      <c r="E667" s="6" t="inlineStr">
        <is>
          <t>기타</t>
        </is>
      </c>
      <c r="F667" s="8" t="inlineStr">
        <is>
          <t>구조물 계측</t>
        </is>
      </c>
      <c r="G667" s="24" t="inlineStr">
        <is>
          <t>구조물 공사에서 시행하는 계측관리의 목적과 계측방법에 대하여 구체적으로 설명하시오.</t>
        </is>
      </c>
    </row>
    <row r="668" customFormat="1" s="1">
      <c r="A668" s="6" t="n">
        <v>264</v>
      </c>
      <c r="B668" s="145" t="n">
        <v>117</v>
      </c>
      <c r="C668" s="146" t="n">
        <v>2</v>
      </c>
      <c r="D668" s="7" t="n">
        <v>3</v>
      </c>
      <c r="E668" s="6" t="inlineStr">
        <is>
          <t>해체공사</t>
        </is>
      </c>
      <c r="F668" s="8" t="inlineStr">
        <is>
          <t>폐기물</t>
        </is>
      </c>
      <c r="G668" s="24" t="inlineStr">
        <is>
          <t>건설공사 폐기물의 종류와 재활용 방안을 설명하시오.</t>
        </is>
      </c>
    </row>
    <row r="669" customFormat="1" s="1">
      <c r="A669" s="6" t="n">
        <v>265</v>
      </c>
      <c r="B669" s="145" t="n">
        <v>117</v>
      </c>
      <c r="C669" s="146" t="n">
        <v>2</v>
      </c>
      <c r="D669" s="7" t="n">
        <v>4</v>
      </c>
      <c r="E669" s="6" t="inlineStr">
        <is>
          <t>시사 이슈 문제</t>
        </is>
      </c>
      <c r="F669" s="8" t="inlineStr">
        <is>
          <t>건설업의 특성</t>
        </is>
      </c>
      <c r="G669" s="24" t="inlineStr">
        <is>
          <t>제조업과 대비되는 건설업의 특성을 설명하고, 그에 대한 건설재해 발생요인을 설명 하시오.</t>
        </is>
      </c>
    </row>
    <row r="670" ht="33" customFormat="1" customHeight="1" s="1">
      <c r="A670" s="6" t="n">
        <v>266</v>
      </c>
      <c r="B670" s="145" t="n">
        <v>117</v>
      </c>
      <c r="C670" s="146" t="n">
        <v>2</v>
      </c>
      <c r="D670" s="7" t="n">
        <v>5</v>
      </c>
      <c r="E670" s="6" t="inlineStr">
        <is>
          <t>산안법</t>
        </is>
      </c>
      <c r="F670" s="8" t="inlineStr">
        <is>
          <t>석면조사</t>
        </is>
      </c>
      <c r="G670" s="24" t="inlineStr">
        <is>
          <t>건축물 리모델링현장에서 발생할 수 있는 석면에 대한 조사대상 및 조사방법, 안전 작업기준에 대하여 설명하시오.</t>
        </is>
      </c>
    </row>
    <row r="671" customFormat="1" s="1">
      <c r="A671" s="6" t="n">
        <v>267</v>
      </c>
      <c r="B671" s="145" t="n">
        <v>117</v>
      </c>
      <c r="C671" s="146" t="n">
        <v>2</v>
      </c>
      <c r="D671" s="7" t="n">
        <v>6</v>
      </c>
      <c r="E671" s="6" t="inlineStr">
        <is>
          <t>시사 이슈 문제</t>
        </is>
      </c>
      <c r="F671" s="8" t="inlineStr">
        <is>
          <t>노후 열수송관</t>
        </is>
      </c>
      <c r="G671" s="24" t="inlineStr">
        <is>
          <t>기존 매설된 노후 열수송관로의 주요 손상원인 및 방지대책에 대하여 설명하시오</t>
        </is>
      </c>
    </row>
    <row r="672" customFormat="1" s="1">
      <c r="A672" s="6" t="n">
        <v>268</v>
      </c>
      <c r="B672" s="145" t="n">
        <v>117</v>
      </c>
      <c r="C672" s="146" t="n">
        <v>3</v>
      </c>
      <c r="D672" s="7" t="n">
        <v>1</v>
      </c>
      <c r="E672" s="6" t="inlineStr">
        <is>
          <t>건설기계</t>
        </is>
      </c>
      <c r="F672" s="8" t="inlineStr">
        <is>
          <t>펌프카</t>
        </is>
      </c>
      <c r="G672" s="24" t="inlineStr">
        <is>
          <t>콘크리트 펌프카를 이용한 콘크리트 타설작업시 위험요인과 재해유형별 안전대책에 대하여 설명하시오.</t>
        </is>
      </c>
    </row>
    <row r="673" customFormat="1" s="1">
      <c r="A673" s="6" t="n">
        <v>269</v>
      </c>
      <c r="B673" s="145" t="n">
        <v>117</v>
      </c>
      <c r="C673" s="146" t="n">
        <v>3</v>
      </c>
      <c r="D673" s="7" t="n">
        <v>2</v>
      </c>
      <c r="E673" s="6" t="inlineStr">
        <is>
          <t>산안법</t>
        </is>
      </c>
      <c r="F673" s="8" t="inlineStr">
        <is>
          <t>사망만인율</t>
        </is>
      </c>
      <c r="G673" s="24" t="inlineStr">
        <is>
          <t>건설업 산업재해 발생률 산정기준에 대해서 설명하시오.</t>
        </is>
      </c>
    </row>
    <row r="674" customFormat="1" s="1">
      <c r="A674" s="6" t="n">
        <v>270</v>
      </c>
      <c r="B674" s="145" t="n">
        <v>117</v>
      </c>
      <c r="C674" s="146" t="n">
        <v>3</v>
      </c>
      <c r="D674" s="7" t="n">
        <v>3</v>
      </c>
      <c r="E674" s="6" t="inlineStr">
        <is>
          <t>산안법</t>
        </is>
      </c>
      <c r="F674" s="8" t="inlineStr">
        <is>
          <t>산업안전보건관리비</t>
        </is>
      </c>
      <c r="G674" s="24" t="inlineStr">
        <is>
          <t>설계변경시 건설업 산업안전보건관리비의 계상방법에 대하여 설명하시오.</t>
        </is>
      </c>
    </row>
    <row r="675" customFormat="1" s="1">
      <c r="A675" s="6" t="n">
        <v>271</v>
      </c>
      <c r="B675" s="145" t="n">
        <v>117</v>
      </c>
      <c r="C675" s="146" t="n">
        <v>3</v>
      </c>
      <c r="D675" s="7" t="n">
        <v>4</v>
      </c>
      <c r="E675" s="6" t="inlineStr">
        <is>
          <t>시설물안전법</t>
        </is>
      </c>
      <c r="F675" s="8" t="inlineStr">
        <is>
          <t>화재</t>
        </is>
      </c>
      <c r="G675" s="24" t="inlineStr">
        <is>
          <t>철근콘크리트 구조물의 화재에 따른 구조물의 건전성 평가 방법 및 보수․보강대책에 대하여 설명하시오.</t>
        </is>
      </c>
    </row>
    <row r="676" customFormat="1" s="1">
      <c r="A676" s="6" t="n">
        <v>272</v>
      </c>
      <c r="B676" s="145" t="n">
        <v>117</v>
      </c>
      <c r="C676" s="146" t="n">
        <v>3</v>
      </c>
      <c r="D676" s="7" t="n">
        <v>5</v>
      </c>
      <c r="E676" s="6" t="inlineStr">
        <is>
          <t>시설물안전법</t>
        </is>
      </c>
      <c r="F676" s="8" t="inlineStr">
        <is>
          <t>교량 안전도</t>
        </is>
      </c>
      <c r="G676" s="24" t="inlineStr">
        <is>
          <t>교량의 안전도 검사를 위한 구조 내하력 평가방법에 대하여 설명하시오.</t>
        </is>
      </c>
    </row>
    <row r="677" ht="33" customFormat="1" customHeight="1" s="1">
      <c r="A677" s="6" t="n">
        <v>273</v>
      </c>
      <c r="B677" s="145" t="n">
        <v>117</v>
      </c>
      <c r="C677" s="146" t="n">
        <v>3</v>
      </c>
      <c r="D677" s="7" t="n">
        <v>6</v>
      </c>
      <c r="E677" s="32" t="inlineStr">
        <is>
          <t>산안법</t>
        </is>
      </c>
      <c r="F677" s="8" t="inlineStr">
        <is>
          <t>밀폐공간</t>
        </is>
      </c>
      <c r="G677" s="24" t="inlineStr">
        <is>
          <t>밀폐공간작업 시 안전작업절차, 주요 안전점검사항 및 관리감독자의 유해위험방지 업무에 대하여 설명하시오.</t>
        </is>
      </c>
    </row>
    <row r="678" customFormat="1" s="1">
      <c r="A678" s="6" t="n">
        <v>274</v>
      </c>
      <c r="B678" s="145" t="n">
        <v>117</v>
      </c>
      <c r="C678" s="146" t="n">
        <v>4</v>
      </c>
      <c r="D678" s="7" t="n">
        <v>1</v>
      </c>
      <c r="E678" s="6" t="inlineStr">
        <is>
          <t>계절재해</t>
        </is>
      </c>
      <c r="F678" s="8" t="inlineStr">
        <is>
          <t>해빙기</t>
        </is>
      </c>
      <c r="G678" s="24" t="inlineStr">
        <is>
          <t>해빙기 건설현장에서 발생할 수 있는 재해 위험요인별 안전대책과 주요 점검사항에 대하여 설명하시오.</t>
        </is>
      </c>
    </row>
    <row r="679" customFormat="1" s="1">
      <c r="A679" s="6" t="n">
        <v>275</v>
      </c>
      <c r="B679" s="145" t="n">
        <v>117</v>
      </c>
      <c r="C679" s="146" t="n">
        <v>4</v>
      </c>
      <c r="D679" s="7" t="n">
        <v>2</v>
      </c>
      <c r="E679" s="6" t="inlineStr">
        <is>
          <t>산안법</t>
        </is>
      </c>
      <c r="F679" s="8" t="inlineStr">
        <is>
          <t>자율안전컨설팅</t>
        </is>
      </c>
      <c r="G679" s="24" t="inlineStr">
        <is>
          <t>건설현장 자율안전관리를 위한 자율안전컨설팅, 건설업 상생협력 프로그램 사업에 대하여 설명하시오.</t>
        </is>
      </c>
    </row>
    <row r="680" ht="33" customFormat="1" customHeight="1" s="1">
      <c r="A680" s="6" t="n">
        <v>276</v>
      </c>
      <c r="B680" s="145" t="n">
        <v>117</v>
      </c>
      <c r="C680" s="146" t="n">
        <v>4</v>
      </c>
      <c r="D680" s="7" t="n">
        <v>3</v>
      </c>
      <c r="E680" s="6" t="inlineStr">
        <is>
          <t>산안법</t>
        </is>
      </c>
      <c r="F680" s="8" t="inlineStr">
        <is>
          <t>안전보건교육</t>
        </is>
      </c>
      <c r="G680" s="24" t="inlineStr">
        <is>
          <t>건설현장에서 실시하는 안전교육의 종류를 열거하고, 외국인 근로자에게 실시하는 안전 교육에 대한 문제점 및 대책을 설명하시오.</t>
        </is>
      </c>
    </row>
    <row r="681" customFormat="1" s="1">
      <c r="A681" s="6" t="n">
        <v>277</v>
      </c>
      <c r="B681" s="145" t="n">
        <v>117</v>
      </c>
      <c r="C681" s="146" t="n">
        <v>4</v>
      </c>
      <c r="D681" s="7" t="n">
        <v>4</v>
      </c>
      <c r="E681" s="6" t="inlineStr">
        <is>
          <t>기초</t>
        </is>
      </c>
      <c r="F681" s="8" t="inlineStr">
        <is>
          <t>굴착공사</t>
        </is>
      </c>
      <c r="G681" s="24" t="inlineStr">
        <is>
          <t>도심지 소규모 건축물 굴착공사 시 예상되는 붕괴사고 원인 및 안전대책에 대하여 설명 하시오.</t>
        </is>
      </c>
    </row>
    <row r="682" ht="33" customFormat="1" customHeight="1" s="1">
      <c r="A682" s="6" t="n">
        <v>278</v>
      </c>
      <c r="B682" s="145" t="n">
        <v>117</v>
      </c>
      <c r="C682" s="146" t="n">
        <v>4</v>
      </c>
      <c r="D682" s="7" t="n">
        <v>5</v>
      </c>
      <c r="E682" s="6" t="inlineStr">
        <is>
          <t>건설기계</t>
        </is>
      </c>
      <c r="F682" s="8" t="inlineStr">
        <is>
          <t>고소작업대</t>
        </is>
      </c>
      <c r="G682" s="24" t="inlineStr">
        <is>
          <t>고소작업대(차량탑재형)의 대상차량별 안전검사 기한 및 주기와 안전작업절차 및 주요 안전점검사항에 대하여 설명하시오.</t>
        </is>
      </c>
    </row>
    <row r="683" customFormat="1" s="1">
      <c r="A683" s="6" t="n">
        <v>279</v>
      </c>
      <c r="B683" s="145" t="n">
        <v>117</v>
      </c>
      <c r="C683" s="146" t="n">
        <v>4</v>
      </c>
      <c r="D683" s="7" t="n">
        <v>6</v>
      </c>
      <c r="E683" s="6" t="inlineStr">
        <is>
          <t>산안법</t>
        </is>
      </c>
      <c r="F683" s="8" t="inlineStr">
        <is>
          <t>작업환경_터널</t>
        </is>
      </c>
      <c r="G683" s="24" t="inlineStr">
        <is>
          <t>터널공사의 작업환경에 대하여 설명하고, 안전보건대책에 대하여 설명하시오.</t>
        </is>
      </c>
    </row>
    <row r="684" customFormat="1" s="1">
      <c r="A684" s="6" t="n">
        <v>280</v>
      </c>
      <c r="B684" s="145" t="n">
        <v>116</v>
      </c>
      <c r="C684" s="146" t="n">
        <v>1</v>
      </c>
      <c r="D684" s="7" t="n">
        <v>1</v>
      </c>
      <c r="E684" s="6" t="inlineStr">
        <is>
          <t>해체공사</t>
        </is>
      </c>
      <c r="F684" s="8" t="inlineStr">
        <is>
          <t>절단공법</t>
        </is>
      </c>
      <c r="G684" s="24" t="inlineStr">
        <is>
          <t>해체공법 중 절단공법</t>
        </is>
      </c>
    </row>
    <row r="685" customFormat="1" s="1">
      <c r="A685" s="6" t="n">
        <v>281</v>
      </c>
      <c r="B685" s="145" t="n">
        <v>116</v>
      </c>
      <c r="C685" s="146" t="n">
        <v>1</v>
      </c>
      <c r="D685" s="7" t="n">
        <v>2</v>
      </c>
      <c r="E685" s="6" t="inlineStr">
        <is>
          <t>건축</t>
        </is>
      </c>
      <c r="F685" s="8" t="inlineStr">
        <is>
          <t>도장공사</t>
        </is>
      </c>
      <c r="G685" s="24" t="inlineStr">
        <is>
          <t>도장공사의 재해유형</t>
        </is>
      </c>
    </row>
    <row r="686" customFormat="1" s="1">
      <c r="A686" s="6" t="n">
        <v>282</v>
      </c>
      <c r="B686" s="145" t="n">
        <v>116</v>
      </c>
      <c r="C686" s="146" t="n">
        <v>1</v>
      </c>
      <c r="D686" s="7" t="n">
        <v>3</v>
      </c>
      <c r="E686" s="6" t="inlineStr">
        <is>
          <t>콘크리트</t>
        </is>
      </c>
      <c r="F686" s="8" t="inlineStr">
        <is>
          <t>함수상태</t>
        </is>
      </c>
      <c r="G686" s="24" t="inlineStr">
        <is>
          <t>골재의 함수상태</t>
        </is>
      </c>
    </row>
    <row r="687" customFormat="1" s="1">
      <c r="A687" s="6" t="n">
        <v>283</v>
      </c>
      <c r="B687" s="145" t="n">
        <v>116</v>
      </c>
      <c r="C687" s="146" t="n">
        <v>1</v>
      </c>
      <c r="D687" s="7" t="n">
        <v>4</v>
      </c>
      <c r="E687" s="6" t="inlineStr">
        <is>
          <t>산안법</t>
        </is>
      </c>
      <c r="F687" s="8" t="inlineStr">
        <is>
          <t>안전보건경영시스템</t>
        </is>
      </c>
      <c r="G687" s="24" t="inlineStr">
        <is>
          <t>안전보건경영시스템에서 최고경영자의 안전보건방침 수립 시 고려해야 할 사항</t>
        </is>
      </c>
    </row>
    <row r="688" customFormat="1" s="1">
      <c r="A688" s="6" t="n">
        <v>284</v>
      </c>
      <c r="B688" s="145" t="n">
        <v>116</v>
      </c>
      <c r="C688" s="146" t="n">
        <v>1</v>
      </c>
      <c r="D688" s="7" t="n">
        <v>5</v>
      </c>
      <c r="E688" s="32" t="inlineStr">
        <is>
          <t>산안법</t>
        </is>
      </c>
      <c r="F688" s="8" t="inlineStr">
        <is>
          <t>밀폐공간</t>
        </is>
      </c>
      <c r="G688" s="24" t="inlineStr">
        <is>
          <t xml:space="preserve">밀폐공간의 정의 및 밀폐공간 작업 프로그램 </t>
        </is>
      </c>
    </row>
    <row r="689" customFormat="1" s="1">
      <c r="A689" s="6" t="n">
        <v>285</v>
      </c>
      <c r="B689" s="145" t="n">
        <v>116</v>
      </c>
      <c r="C689" s="146" t="n">
        <v>1</v>
      </c>
      <c r="D689" s="7" t="n">
        <v>6</v>
      </c>
      <c r="E689" s="6" t="inlineStr">
        <is>
          <t>토공</t>
        </is>
      </c>
      <c r="F689" s="8" t="inlineStr">
        <is>
          <t>사면안정</t>
        </is>
      </c>
      <c r="G689" s="24" t="inlineStr">
        <is>
          <t>연성 거동을 보이는 절토사면의 특징</t>
        </is>
      </c>
    </row>
    <row r="690" customFormat="1" s="1">
      <c r="A690" s="6" t="n">
        <v>286</v>
      </c>
      <c r="B690" s="145" t="n">
        <v>116</v>
      </c>
      <c r="C690" s="146" t="n">
        <v>1</v>
      </c>
      <c r="D690" s="7" t="n">
        <v>7</v>
      </c>
      <c r="E690" s="6" t="inlineStr">
        <is>
          <t>건설기계</t>
        </is>
      </c>
      <c r="F690" s="8" t="inlineStr">
        <is>
          <t>리프트</t>
        </is>
      </c>
      <c r="G690" s="24" t="inlineStr">
        <is>
          <t>건설작업용 리프트 사용 시 준수사항</t>
        </is>
      </c>
    </row>
    <row r="691" customFormat="1" s="1">
      <c r="A691" s="6" t="n">
        <v>287</v>
      </c>
      <c r="B691" s="145" t="n">
        <v>116</v>
      </c>
      <c r="C691" s="146" t="n">
        <v>1</v>
      </c>
      <c r="D691" s="7" t="n">
        <v>8</v>
      </c>
      <c r="E691" s="6" t="inlineStr">
        <is>
          <t>안전관리론</t>
        </is>
      </c>
      <c r="F691" s="8" t="inlineStr">
        <is>
          <t>인간공학</t>
        </is>
      </c>
      <c r="G691" s="24" t="inlineStr">
        <is>
          <t>동작경제의 3원칙</t>
        </is>
      </c>
    </row>
    <row r="692" customFormat="1" s="1">
      <c r="A692" s="6" t="n">
        <v>288</v>
      </c>
      <c r="B692" s="145" t="n">
        <v>116</v>
      </c>
      <c r="C692" s="146" t="n">
        <v>1</v>
      </c>
      <c r="D692" s="7" t="n">
        <v>9</v>
      </c>
      <c r="E692" s="6" t="inlineStr">
        <is>
          <t>계절재해</t>
        </is>
      </c>
      <c r="F692" s="8" t="inlineStr">
        <is>
          <t>폭염</t>
        </is>
      </c>
      <c r="G692" s="24" t="inlineStr">
        <is>
          <t>폭염의 정의 및 열사병 예방 3대 기본수칙</t>
        </is>
      </c>
    </row>
    <row r="693" customFormat="1" s="1">
      <c r="A693" s="6" t="n">
        <v>289</v>
      </c>
      <c r="B693" s="145" t="n">
        <v>116</v>
      </c>
      <c r="C693" s="146" t="n">
        <v>1</v>
      </c>
      <c r="D693" s="7" t="n">
        <v>10</v>
      </c>
      <c r="E693" s="6" t="inlineStr">
        <is>
          <t>산안법</t>
        </is>
      </c>
      <c r="F693" s="8" t="inlineStr">
        <is>
          <t>관리감독자</t>
        </is>
      </c>
      <c r="G693" s="24" t="inlineStr">
        <is>
          <t>관리감독자의 업무내용(산업안전보건법 시행령 제10조)</t>
        </is>
      </c>
    </row>
    <row r="694" customFormat="1" s="1">
      <c r="A694" s="6" t="n">
        <v>290</v>
      </c>
      <c r="B694" s="145" t="n">
        <v>116</v>
      </c>
      <c r="C694" s="146" t="n">
        <v>1</v>
      </c>
      <c r="D694" s="7" t="n">
        <v>11</v>
      </c>
      <c r="E694" s="6" t="inlineStr">
        <is>
          <t>안전관리론</t>
        </is>
      </c>
      <c r="F694" s="8" t="inlineStr">
        <is>
          <t>안전심리_불안전한행동</t>
        </is>
      </c>
      <c r="G694" s="24" t="inlineStr">
        <is>
          <t>불안전한 행동에 대한 예방대책</t>
        </is>
      </c>
    </row>
    <row r="695" customFormat="1" s="1">
      <c r="A695" s="6" t="n">
        <v>291</v>
      </c>
      <c r="B695" s="145" t="n">
        <v>116</v>
      </c>
      <c r="C695" s="146" t="n">
        <v>1</v>
      </c>
      <c r="D695" s="7" t="n">
        <v>12</v>
      </c>
      <c r="E695" s="6" t="inlineStr">
        <is>
          <t>산안법</t>
        </is>
      </c>
      <c r="F695" s="8" t="inlineStr">
        <is>
          <t>건강진단</t>
        </is>
      </c>
      <c r="G695" s="24" t="inlineStr">
        <is>
          <t>산업안전보건법령상 특수건강진단</t>
        </is>
      </c>
    </row>
    <row r="696" customFormat="1" s="1">
      <c r="A696" s="6" t="n">
        <v>292</v>
      </c>
      <c r="B696" s="145" t="n">
        <v>116</v>
      </c>
      <c r="C696" s="146" t="n">
        <v>1</v>
      </c>
      <c r="D696" s="7" t="n">
        <v>13</v>
      </c>
      <c r="E696" s="6" t="inlineStr">
        <is>
          <t>지특법</t>
        </is>
      </c>
      <c r="F696" s="8" t="inlineStr">
        <is>
          <t>지하안전평가</t>
        </is>
      </c>
      <c r="G696" s="24" t="inlineStr">
        <is>
          <t>지하안전관리에 관한 특별법상 국가지하안전관리 기본계획 및 지하안전영향평가 대상사업</t>
        </is>
      </c>
    </row>
    <row r="697" customFormat="1" s="1">
      <c r="A697" s="6" t="n">
        <v>293</v>
      </c>
      <c r="B697" s="145" t="n">
        <v>116</v>
      </c>
      <c r="C697" s="146" t="n">
        <v>2</v>
      </c>
      <c r="D697" s="7" t="n">
        <v>1</v>
      </c>
      <c r="E697" s="6" t="inlineStr">
        <is>
          <t>콘크리트</t>
        </is>
      </c>
      <c r="F697" s="8" t="inlineStr">
        <is>
          <t>철근_작업절차</t>
        </is>
      </c>
      <c r="G697" s="24" t="inlineStr">
        <is>
          <t>중소규모 건설현장에서 철근 작업절차별 유해위험요인과 안전보건 대책에 대하여 설명하시오.</t>
        </is>
      </c>
    </row>
    <row r="698" ht="33" customFormat="1" customHeight="1" s="1">
      <c r="A698" s="6" t="n">
        <v>294</v>
      </c>
      <c r="B698" s="145" t="n">
        <v>116</v>
      </c>
      <c r="C698" s="146" t="n">
        <v>2</v>
      </c>
      <c r="D698" s="7" t="n">
        <v>2</v>
      </c>
      <c r="E698" s="6" t="inlineStr">
        <is>
          <t>재해유형</t>
        </is>
      </c>
      <c r="F698" s="8" t="inlineStr">
        <is>
          <t>추락</t>
        </is>
      </c>
      <c r="G698" s="24" t="inlineStr">
        <is>
          <t>건설현장에서의 추락재해 발생원인(유형) 및 예방대책(주요 추락방지시설은 법적 설치기준 포함)을 우선 순으로 설명하시오.</t>
        </is>
      </c>
    </row>
    <row r="699" customFormat="1" s="1">
      <c r="A699" s="6" t="n">
        <v>295</v>
      </c>
      <c r="B699" s="145" t="n">
        <v>116</v>
      </c>
      <c r="C699" s="146" t="n">
        <v>2</v>
      </c>
      <c r="D699" s="7" t="n">
        <v>3</v>
      </c>
      <c r="E699" s="6" t="inlineStr">
        <is>
          <t>콘크리트</t>
        </is>
      </c>
      <c r="F699" s="8" t="inlineStr">
        <is>
          <t>거푸집_ACS</t>
        </is>
      </c>
      <c r="G699" s="24" t="inlineStr">
        <is>
          <t>ACS(Automatic Climbing System)폼의 특징 및 시공시의 안전조치와 주의사항에 대하여 설명하시오.</t>
        </is>
      </c>
    </row>
    <row r="700" ht="33" customFormat="1" customHeight="1" s="1">
      <c r="A700" s="6" t="n">
        <v>296</v>
      </c>
      <c r="B700" s="145" t="n">
        <v>116</v>
      </c>
      <c r="C700" s="146" t="n">
        <v>2</v>
      </c>
      <c r="D700" s="7" t="n">
        <v>4</v>
      </c>
      <c r="E700" s="6" t="inlineStr">
        <is>
          <t>기초</t>
        </is>
      </c>
      <c r="F700" s="8" t="inlineStr">
        <is>
          <t>굴착공사</t>
        </is>
      </c>
      <c r="G700" s="24" t="inlineStr">
        <is>
          <t>도심지에서 지하 10m 이상 굴착작업을 실시하는 경우 굴착작업 계획수립 내용 및 준비사항과 굴착작업 시 안전기준에 대하여 설명하시오.</t>
        </is>
      </c>
    </row>
    <row r="701" customFormat="1" s="1">
      <c r="A701" s="6" t="n">
        <v>297</v>
      </c>
      <c r="B701" s="145" t="n">
        <v>116</v>
      </c>
      <c r="C701" s="146" t="n">
        <v>2</v>
      </c>
      <c r="D701" s="7" t="n">
        <v>5</v>
      </c>
      <c r="E701" s="6" t="inlineStr">
        <is>
          <t>건설기계</t>
        </is>
      </c>
      <c r="F701" s="8" t="inlineStr">
        <is>
          <t>타워크레인</t>
        </is>
      </c>
      <c r="G701" s="24" t="inlineStr">
        <is>
          <t>타워크레인의 주요 구조 및 사고형태별 위험징후 유형과 조치사항에 대하여 설명하시오.</t>
        </is>
      </c>
    </row>
    <row r="702" customFormat="1" s="1">
      <c r="A702" s="6" t="n">
        <v>298</v>
      </c>
      <c r="B702" s="145" t="n">
        <v>116</v>
      </c>
      <c r="C702" s="146" t="n">
        <v>2</v>
      </c>
      <c r="D702" s="7" t="n">
        <v>6</v>
      </c>
      <c r="E702" s="6" t="inlineStr">
        <is>
          <t>안전관리론</t>
        </is>
      </c>
      <c r="F702" s="8" t="inlineStr">
        <is>
          <t>재해조사 및 통계</t>
        </is>
      </c>
      <c r="G702" s="24" t="inlineStr">
        <is>
          <t>재해손실비용 평가방식에 대하여 설명하시오.</t>
        </is>
      </c>
    </row>
    <row r="703" customFormat="1" s="1">
      <c r="A703" s="6" t="n">
        <v>299</v>
      </c>
      <c r="B703" s="145" t="n">
        <v>116</v>
      </c>
      <c r="C703" s="146" t="n">
        <v>3</v>
      </c>
      <c r="D703" s="7" t="n">
        <v>1</v>
      </c>
      <c r="E703" s="6" t="inlineStr">
        <is>
          <t>콘크리트</t>
        </is>
      </c>
      <c r="F703" s="8" t="inlineStr">
        <is>
          <t>타설</t>
        </is>
      </c>
      <c r="G703" s="24" t="inlineStr">
        <is>
          <t xml:space="preserve">도심지 초고층 현장에서 콘크리트 배합 및 배관 시 고려사항과 타설 시 안전대책에 대하여 설명하시오. </t>
        </is>
      </c>
    </row>
    <row r="704" ht="33" customFormat="1" customHeight="1" s="1">
      <c r="A704" s="6" t="n">
        <v>300</v>
      </c>
      <c r="B704" s="145" t="n">
        <v>116</v>
      </c>
      <c r="C704" s="146" t="n">
        <v>3</v>
      </c>
      <c r="D704" s="7" t="n">
        <v>2</v>
      </c>
      <c r="E704" s="6" t="inlineStr">
        <is>
          <t>시사 이슈 문제</t>
        </is>
      </c>
      <c r="F704" s="8" t="inlineStr">
        <is>
          <t>사망사고 절반줄이기</t>
        </is>
      </c>
      <c r="G704" s="24" t="inlineStr">
        <is>
          <t>정부가 2022년까지 산업재해 사망사고를 절반으로 줄이겠다는 ‘국민생명 지키기 3대 프로젝트’에서 건설안전과 관련된 내용을 설명하시오.</t>
        </is>
      </c>
    </row>
    <row r="705" ht="33" customFormat="1" customHeight="1" s="1">
      <c r="A705" s="6" t="n">
        <v>301</v>
      </c>
      <c r="B705" s="145" t="n">
        <v>116</v>
      </c>
      <c r="C705" s="146" t="n">
        <v>3</v>
      </c>
      <c r="D705" s="7" t="n">
        <v>3</v>
      </c>
      <c r="E705" s="6" t="inlineStr">
        <is>
          <t>해체공사</t>
        </is>
      </c>
      <c r="F705" s="8" t="inlineStr">
        <is>
          <t>해체공법</t>
        </is>
      </c>
      <c r="G705" s="24" t="inlineStr">
        <is>
          <t>도심지에서 지하 3층, 지상 12층 규모의 노후화된 건물을 철거하려고 한다. 현장에 적합한 해체공법을 나열하고 해체작업 시 발생될 수 있는 문제점과 안전대책에 대하여 설명하시오.</t>
        </is>
      </c>
    </row>
    <row r="706" ht="33" customFormat="1" customHeight="1" s="1">
      <c r="A706" s="6" t="n">
        <v>302</v>
      </c>
      <c r="B706" s="145" t="n">
        <v>116</v>
      </c>
      <c r="C706" s="146" t="n">
        <v>3</v>
      </c>
      <c r="D706" s="7" t="n">
        <v>4</v>
      </c>
      <c r="E706" s="6" t="inlineStr">
        <is>
          <t>건설기계</t>
        </is>
      </c>
      <c r="F706" s="8" t="inlineStr">
        <is>
          <t>5대건설기계</t>
        </is>
      </c>
      <c r="G706" s="24" t="inlineStr">
        <is>
          <t>최근 건설기계·장비로 인한 사고 중 사망재해가 많이 발생하는 5대 건설기계·장비의 종류 및 재해발생 유형과 사고예방을 위한 안전대책에 대하여 설명하시오.</t>
        </is>
      </c>
    </row>
    <row r="707" customFormat="1" s="1">
      <c r="A707" s="6" t="n">
        <v>303</v>
      </c>
      <c r="B707" s="145" t="n">
        <v>116</v>
      </c>
      <c r="C707" s="146" t="n">
        <v>3</v>
      </c>
      <c r="D707" s="7" t="n">
        <v>5</v>
      </c>
      <c r="E707" s="6" t="inlineStr">
        <is>
          <t>토공</t>
        </is>
      </c>
      <c r="F707" s="8" t="inlineStr">
        <is>
          <t>연약지반</t>
        </is>
      </c>
      <c r="G707" s="24" t="inlineStr">
        <is>
          <t>연약지반에서 구조물 시공 시 발생할 수 있는 문제점과 지반개량공법에 대하여 설명하시오.</t>
        </is>
      </c>
    </row>
    <row r="708" customFormat="1" s="1">
      <c r="A708" s="6" t="n">
        <v>304</v>
      </c>
      <c r="B708" s="145" t="n">
        <v>116</v>
      </c>
      <c r="C708" s="146" t="n">
        <v>3</v>
      </c>
      <c r="D708" s="7" t="n">
        <v>6</v>
      </c>
      <c r="E708" s="6" t="inlineStr">
        <is>
          <t>산안법</t>
        </is>
      </c>
      <c r="F708" s="8" t="inlineStr">
        <is>
          <t>안전표지</t>
        </is>
      </c>
      <c r="G708" s="24" t="inlineStr">
        <is>
          <t>건설현장에서 사용하는 안전표지의 종류에 대하여 설명하시오.</t>
        </is>
      </c>
    </row>
    <row r="709" ht="33" customFormat="1" customHeight="1" s="1">
      <c r="A709" s="6" t="n">
        <v>305</v>
      </c>
      <c r="B709" s="145" t="n">
        <v>116</v>
      </c>
      <c r="C709" s="146" t="n">
        <v>4</v>
      </c>
      <c r="D709" s="7" t="n">
        <v>1</v>
      </c>
      <c r="E709" s="6" t="inlineStr">
        <is>
          <t>재해유형</t>
        </is>
      </c>
      <c r="F709" s="8" t="inlineStr">
        <is>
          <t>전기재해</t>
        </is>
      </c>
      <c r="G709" s="24" t="inlineStr">
        <is>
          <t>도심지 건설현장에서의 전기관련 재해의 특성과 건설장비의 가공전선로 접근 시 안전대책에 대하여 설명하시오.</t>
        </is>
      </c>
    </row>
    <row r="710" ht="33" customFormat="1" customHeight="1" s="1">
      <c r="A710" s="6" t="n">
        <v>306</v>
      </c>
      <c r="B710" s="145" t="n">
        <v>116</v>
      </c>
      <c r="C710" s="146" t="n">
        <v>4</v>
      </c>
      <c r="D710" s="7" t="n">
        <v>2</v>
      </c>
      <c r="E710" s="6" t="inlineStr">
        <is>
          <t>콘크리트</t>
        </is>
      </c>
      <c r="F710" s="8" t="inlineStr">
        <is>
          <t>거푸집_데크플레이트</t>
        </is>
      </c>
      <c r="G710" s="24" t="inlineStr">
        <is>
          <t>데크플레이트(Deck Plate)를 사용하는 공사의 장점 및 데크플레이트 공사 시 주로 발생하는 3가지 재해유형별 원인과 재해예방 대책에 대하여 설명하시오.</t>
        </is>
      </c>
    </row>
    <row r="711" ht="33" customFormat="1" customHeight="1" s="1">
      <c r="A711" s="6" t="n">
        <v>307</v>
      </c>
      <c r="B711" s="145" t="n">
        <v>116</v>
      </c>
      <c r="C711" s="146" t="n">
        <v>4</v>
      </c>
      <c r="D711" s="7" t="n">
        <v>3</v>
      </c>
      <c r="E711" s="6" t="inlineStr">
        <is>
          <t>건설기계</t>
        </is>
      </c>
      <c r="F711" s="8" t="inlineStr">
        <is>
          <t>이동식 크레인</t>
        </is>
      </c>
      <c r="G711" s="24" t="inlineStr">
        <is>
          <t>건설현장에서 주로 사용되고 있는 이동식 크레인의 종류를 나열하고 양중작업의 안정성 검토 기준에 대하여 설명하시오.</t>
        </is>
      </c>
    </row>
    <row r="712" customFormat="1" s="1">
      <c r="A712" s="6" t="n">
        <v>308</v>
      </c>
      <c r="B712" s="145" t="n">
        <v>116</v>
      </c>
      <c r="C712" s="146" t="n">
        <v>4</v>
      </c>
      <c r="D712" s="7" t="n">
        <v>4</v>
      </c>
      <c r="E712" s="6" t="inlineStr">
        <is>
          <t>콘크리트</t>
        </is>
      </c>
      <c r="F712" s="8" t="inlineStr">
        <is>
          <t>거푸집_갱폼</t>
        </is>
      </c>
      <c r="G712" s="24" t="inlineStr">
        <is>
          <t>갱폼(Gang Form)의 구조 및 구조검토 항목, 재해발생 유형과 작업 시 안전대책에 대하여 설명하시오.</t>
        </is>
      </c>
    </row>
    <row r="713" customFormat="1" s="1">
      <c r="A713" s="6" t="n">
        <v>309</v>
      </c>
      <c r="B713" s="145" t="n">
        <v>116</v>
      </c>
      <c r="C713" s="146" t="n">
        <v>4</v>
      </c>
      <c r="D713" s="7" t="n">
        <v>5</v>
      </c>
      <c r="E713" s="6" t="inlineStr">
        <is>
          <t>산안법</t>
        </is>
      </c>
      <c r="F713" s="8" t="inlineStr">
        <is>
          <t>재해예방전문지도기관</t>
        </is>
      </c>
      <c r="G713" s="24" t="inlineStr">
        <is>
          <t>건설업 재해예방 전문지도기관의 인력·시설 및 장비기준과 지도기준에 대하여 설명하시오.</t>
        </is>
      </c>
    </row>
    <row r="714" customFormat="1" s="1">
      <c r="A714" s="6" t="n">
        <v>310</v>
      </c>
      <c r="B714" s="145" t="n">
        <v>116</v>
      </c>
      <c r="C714" s="146" t="n">
        <v>4</v>
      </c>
      <c r="D714" s="7" t="n">
        <v>6</v>
      </c>
      <c r="E714" s="6" t="inlineStr">
        <is>
          <t>가설공사</t>
        </is>
      </c>
      <c r="F714" s="8" t="inlineStr">
        <is>
          <t>시스템비계</t>
        </is>
      </c>
      <c r="G714" s="24" t="inlineStr">
        <is>
          <t>건설공사에서 시스템비계 설치·해체작업 시 안전대책에 대하여 설명하시오.</t>
        </is>
      </c>
    </row>
    <row r="715" customFormat="1" s="1">
      <c r="A715" s="6" t="n">
        <v>311</v>
      </c>
      <c r="B715" s="145" t="n">
        <v>115</v>
      </c>
      <c r="C715" s="146" t="n">
        <v>1</v>
      </c>
      <c r="D715" s="7" t="n">
        <v>1</v>
      </c>
      <c r="E715" s="6" t="inlineStr">
        <is>
          <t>기타</t>
        </is>
      </c>
      <c r="F715" s="8" t="inlineStr">
        <is>
          <t>설계법</t>
        </is>
      </c>
      <c r="G715" s="24" t="inlineStr">
        <is>
          <t>한계상태설계법의 신뢰도지수</t>
        </is>
      </c>
    </row>
    <row r="716" customFormat="1" s="1">
      <c r="A716" s="6" t="n">
        <v>312</v>
      </c>
      <c r="B716" s="145" t="n">
        <v>115</v>
      </c>
      <c r="C716" s="146" t="n">
        <v>1</v>
      </c>
      <c r="D716" s="7" t="n">
        <v>2</v>
      </c>
      <c r="E716" s="6" t="inlineStr">
        <is>
          <t>산안법</t>
        </is>
      </c>
      <c r="F716" s="8" t="inlineStr">
        <is>
          <t>위험성 평가</t>
        </is>
      </c>
      <c r="G716" s="24" t="inlineStr">
        <is>
          <t>위험성 평가에서 허용 위험기준 설정방법</t>
        </is>
      </c>
    </row>
    <row r="717" customFormat="1" s="1">
      <c r="A717" s="6" t="n">
        <v>313</v>
      </c>
      <c r="B717" s="145" t="n">
        <v>115</v>
      </c>
      <c r="C717" s="146" t="n">
        <v>1</v>
      </c>
      <c r="D717" s="7" t="n">
        <v>3</v>
      </c>
      <c r="E717" s="6" t="inlineStr">
        <is>
          <t>산안법</t>
        </is>
      </c>
      <c r="F717" s="8" t="inlineStr">
        <is>
          <t>산재통합관리</t>
        </is>
      </c>
      <c r="G717" s="24" t="inlineStr">
        <is>
          <t>산재 통합 관리</t>
        </is>
      </c>
    </row>
    <row r="718" customFormat="1" s="1">
      <c r="A718" s="6" t="n">
        <v>314</v>
      </c>
      <c r="B718" s="145" t="n">
        <v>115</v>
      </c>
      <c r="C718" s="146" t="n">
        <v>1</v>
      </c>
      <c r="D718" s="7" t="n">
        <v>4</v>
      </c>
      <c r="E718" s="6" t="inlineStr">
        <is>
          <t>건설기계</t>
        </is>
      </c>
      <c r="F718" s="8" t="inlineStr">
        <is>
          <t>검사의 종류</t>
        </is>
      </c>
      <c r="G718" s="24" t="inlineStr">
        <is>
          <t>건설기계에 대한 검사의 종류</t>
        </is>
      </c>
    </row>
    <row r="719" customFormat="1" s="1">
      <c r="A719" s="6" t="n">
        <v>315</v>
      </c>
      <c r="B719" s="145" t="n">
        <v>115</v>
      </c>
      <c r="C719" s="146" t="n">
        <v>1</v>
      </c>
      <c r="D719" s="7" t="n">
        <v>5</v>
      </c>
      <c r="E719" s="6" t="inlineStr">
        <is>
          <t>강재</t>
        </is>
      </c>
      <c r="F719" s="8" t="inlineStr">
        <is>
          <t>용접 및 용단</t>
        </is>
      </c>
      <c r="G719" s="24" t="inlineStr">
        <is>
          <t>강재의 침투탐상시험</t>
        </is>
      </c>
    </row>
    <row r="720" customFormat="1" s="1">
      <c r="A720" s="6" t="n">
        <v>316</v>
      </c>
      <c r="B720" s="145" t="n">
        <v>115</v>
      </c>
      <c r="C720" s="146" t="n">
        <v>1</v>
      </c>
      <c r="D720" s="7" t="n">
        <v>6</v>
      </c>
      <c r="E720" s="6" t="inlineStr">
        <is>
          <t>안전관리론</t>
        </is>
      </c>
      <c r="F720" s="8" t="inlineStr">
        <is>
          <t>안전관리이론</t>
        </is>
      </c>
      <c r="G720" s="24" t="inlineStr">
        <is>
          <t>건설현장의 지속적인 안전관리 수준향상을 위한 P-D-C-A 사이클</t>
        </is>
      </c>
    </row>
    <row r="721" customFormat="1" s="1">
      <c r="A721" s="6" t="n">
        <v>317</v>
      </c>
      <c r="B721" s="145" t="n">
        <v>115</v>
      </c>
      <c r="C721" s="146" t="n">
        <v>1</v>
      </c>
      <c r="D721" s="7" t="n">
        <v>7</v>
      </c>
      <c r="E721" s="6" t="inlineStr">
        <is>
          <t>산안법</t>
        </is>
      </c>
      <c r="F721" s="8" t="inlineStr">
        <is>
          <t>종합재해지수</t>
        </is>
      </c>
      <c r="G721" s="24" t="inlineStr">
        <is>
          <t>종합재해지수(FSI)의 정의 및 산출방법</t>
        </is>
      </c>
    </row>
    <row r="722" customFormat="1" s="1">
      <c r="A722" s="6" t="n">
        <v>318</v>
      </c>
      <c r="B722" s="145" t="n">
        <v>115</v>
      </c>
      <c r="C722" s="146" t="n">
        <v>1</v>
      </c>
      <c r="D722" s="7" t="n">
        <v>8</v>
      </c>
      <c r="E722" s="6" t="inlineStr">
        <is>
          <t>토공</t>
        </is>
      </c>
      <c r="F722" s="8" t="inlineStr">
        <is>
          <t>흙의 동상</t>
        </is>
      </c>
      <c r="G722" s="24" t="inlineStr">
        <is>
          <t>흙의 동상 현상</t>
        </is>
      </c>
    </row>
    <row r="723" customFormat="1" s="1">
      <c r="A723" s="6" t="n">
        <v>319</v>
      </c>
      <c r="B723" s="145" t="n">
        <v>115</v>
      </c>
      <c r="C723" s="146" t="n">
        <v>1</v>
      </c>
      <c r="D723" s="7" t="n">
        <v>9</v>
      </c>
      <c r="E723" s="6" t="inlineStr">
        <is>
          <t>토공</t>
        </is>
      </c>
      <c r="F723" s="8" t="inlineStr">
        <is>
          <t>연약지반</t>
        </is>
      </c>
      <c r="G723" s="24" t="inlineStr">
        <is>
          <t>흙의 히빙(Heaving) 현상</t>
        </is>
      </c>
    </row>
    <row r="724" customFormat="1" s="1">
      <c r="A724" s="6" t="n">
        <v>320</v>
      </c>
      <c r="B724" s="145" t="n">
        <v>115</v>
      </c>
      <c r="C724" s="146" t="n">
        <v>1</v>
      </c>
      <c r="D724" s="7" t="n">
        <v>10</v>
      </c>
      <c r="E724" s="6" t="inlineStr">
        <is>
          <t>지진</t>
        </is>
      </c>
      <c r="F724" s="8" t="inlineStr">
        <is>
          <t>진원 규모</t>
        </is>
      </c>
      <c r="G724" s="24" t="inlineStr">
        <is>
          <t>지진의 진원, 규모, 국내 지진구역</t>
        </is>
      </c>
    </row>
    <row r="725" customFormat="1" s="1">
      <c r="A725" s="6" t="n">
        <v>321</v>
      </c>
      <c r="B725" s="145" t="n">
        <v>115</v>
      </c>
      <c r="C725" s="146" t="n">
        <v>1</v>
      </c>
      <c r="D725" s="7" t="n">
        <v>11</v>
      </c>
      <c r="E725" s="6" t="inlineStr">
        <is>
          <t>콘크리트</t>
        </is>
      </c>
      <c r="F725" s="8" t="inlineStr">
        <is>
          <t>균열과 열화</t>
        </is>
      </c>
      <c r="G725" s="24" t="inlineStr">
        <is>
          <t>콘크리트의 에어 포켓(Air Pocket)</t>
        </is>
      </c>
    </row>
    <row r="726" customFormat="1" s="1">
      <c r="A726" s="6" t="n">
        <v>322</v>
      </c>
      <c r="B726" s="145" t="n">
        <v>115</v>
      </c>
      <c r="C726" s="146" t="n">
        <v>1</v>
      </c>
      <c r="D726" s="7" t="n">
        <v>12</v>
      </c>
      <c r="E726" s="6" t="inlineStr">
        <is>
          <t>산안법</t>
        </is>
      </c>
      <c r="F726" s="8" t="inlineStr">
        <is>
          <t>안전관리자 증원개임</t>
        </is>
      </c>
      <c r="G726" s="24" t="inlineStr">
        <is>
          <t>산업안전보건법상 안전관리자의 증원ㆍ교체 임명 사유</t>
        </is>
      </c>
    </row>
    <row r="727" customFormat="1" s="1">
      <c r="A727" s="6" t="n">
        <v>323</v>
      </c>
      <c r="B727" s="145" t="n">
        <v>115</v>
      </c>
      <c r="C727" s="146" t="n">
        <v>1</v>
      </c>
      <c r="D727" s="7" t="n">
        <v>13</v>
      </c>
      <c r="E727" s="6" t="inlineStr">
        <is>
          <t>산안법</t>
        </is>
      </c>
      <c r="F727" s="8" t="inlineStr">
        <is>
          <t>안전보건교육</t>
        </is>
      </c>
      <c r="G727" s="24" t="inlineStr">
        <is>
          <t>건설업 기초안전ㆍ보건교육 시간 및 내용</t>
        </is>
      </c>
    </row>
    <row r="728" ht="33" customFormat="1" customHeight="1" s="1">
      <c r="A728" s="6" t="n">
        <v>324</v>
      </c>
      <c r="B728" s="145" t="n">
        <v>115</v>
      </c>
      <c r="C728" s="146" t="n">
        <v>2</v>
      </c>
      <c r="D728" s="7" t="n">
        <v>1</v>
      </c>
      <c r="E728" s="6" t="inlineStr">
        <is>
          <t>산안법</t>
        </is>
      </c>
      <c r="F728" s="8" t="inlineStr">
        <is>
          <t>산업안전보건관리비</t>
        </is>
      </c>
      <c r="G728" s="24" t="inlineStr">
        <is>
          <t>산업안전보건법상 산업안전보건관리비와 건설기술진흥법상 안전관리비의 계상목적, 계상기준, 사용범위 등을 비교 설명하시오.</t>
        </is>
      </c>
    </row>
    <row r="729" ht="33" customFormat="1" customHeight="1" s="1">
      <c r="A729" s="6" t="n">
        <v>325</v>
      </c>
      <c r="B729" s="145" t="n">
        <v>115</v>
      </c>
      <c r="C729" s="146" t="n">
        <v>2</v>
      </c>
      <c r="D729" s="7" t="n">
        <v>2</v>
      </c>
      <c r="E729" s="6" t="inlineStr">
        <is>
          <t>산안법</t>
        </is>
      </c>
      <c r="F729" s="8" t="inlineStr">
        <is>
          <t>유해위험방지계획서</t>
        </is>
      </c>
      <c r="G729" s="24" t="inlineStr">
        <is>
          <t>건설업 유해ㆍ위험방지계획서 작성 중 산업안전지도사가 평가ㆍ확인 할 수 있는 대상 건설공사의 범위와 지도사의 요건 및 확인사항을 설명하시오.</t>
        </is>
      </c>
    </row>
    <row r="730" customFormat="1" s="1">
      <c r="A730" s="6" t="n">
        <v>326</v>
      </c>
      <c r="B730" s="145" t="n">
        <v>115</v>
      </c>
      <c r="C730" s="146" t="n">
        <v>2</v>
      </c>
      <c r="D730" s="7" t="n">
        <v>3</v>
      </c>
      <c r="E730" s="6" t="inlineStr">
        <is>
          <t>시설물안전법</t>
        </is>
      </c>
      <c r="F730" s="8" t="inlineStr">
        <is>
          <t>정밀안전진단</t>
        </is>
      </c>
      <c r="G730" s="24" t="inlineStr">
        <is>
          <t>공용중인 교량구조물의 안전 확보를 위한 정밀안전진단의 내용 및 방법에 대해서 설명하시오.</t>
        </is>
      </c>
    </row>
    <row r="731" ht="33" customFormat="1" customHeight="1" s="1">
      <c r="A731" s="6" t="n">
        <v>327</v>
      </c>
      <c r="B731" s="145" t="n">
        <v>115</v>
      </c>
      <c r="C731" s="146" t="n">
        <v>2</v>
      </c>
      <c r="D731" s="7" t="n">
        <v>4</v>
      </c>
      <c r="E731" s="6" t="inlineStr">
        <is>
          <t>시설물안전법</t>
        </is>
      </c>
      <c r="F731" s="8" t="inlineStr">
        <is>
          <t>성능평가</t>
        </is>
      </c>
      <c r="G731" s="24" t="inlineStr">
        <is>
          <t>『시설물의 안전관리에 관한 특별법』에 따른 성능평가대상 시설물의 범위, 성능평가 과업 내용 및 평가방법에 대하여 설명하시오.</t>
        </is>
      </c>
    </row>
    <row r="732" ht="33" customFormat="1" customHeight="1" s="1">
      <c r="A732" s="6" t="n">
        <v>328</v>
      </c>
      <c r="B732" s="145" t="n">
        <v>115</v>
      </c>
      <c r="C732" s="146" t="n">
        <v>2</v>
      </c>
      <c r="D732" s="7" t="n">
        <v>5</v>
      </c>
      <c r="E732" s="6" t="inlineStr">
        <is>
          <t>콘크리트</t>
        </is>
      </c>
      <c r="F732" s="8" t="inlineStr">
        <is>
          <t>거푸집_초고층 수직거푸집</t>
        </is>
      </c>
      <c r="G732" s="24" t="inlineStr">
        <is>
          <t>초고층 빌딩의 수직거푸집 작업 중 발생할 수 있는 재해유형별 원인과 설치 및 사용 시 안전대책에 대하여 설명하시오.</t>
        </is>
      </c>
    </row>
    <row r="733" customFormat="1" s="1">
      <c r="A733" s="6" t="n">
        <v>329</v>
      </c>
      <c r="B733" s="145" t="n">
        <v>115</v>
      </c>
      <c r="C733" s="146" t="n">
        <v>2</v>
      </c>
      <c r="D733" s="7" t="n">
        <v>6</v>
      </c>
      <c r="E733" s="6" t="inlineStr">
        <is>
          <t>콘크리트</t>
        </is>
      </c>
      <c r="F733" s="8" t="inlineStr">
        <is>
          <t>균열과 열화</t>
        </is>
      </c>
      <c r="G733" s="24" t="inlineStr">
        <is>
          <t>콘크리트 구조물의 열화(deterioration) 원인, 열화로 인한 결함 및 대책을 설명하시오</t>
        </is>
      </c>
    </row>
    <row r="734" ht="33" customFormat="1" customHeight="1" s="1">
      <c r="A734" s="6" t="n">
        <v>330</v>
      </c>
      <c r="B734" s="145" t="n">
        <v>115</v>
      </c>
      <c r="C734" s="146" t="n">
        <v>3</v>
      </c>
      <c r="D734" s="7" t="n">
        <v>1</v>
      </c>
      <c r="E734" s="6" t="inlineStr">
        <is>
          <t>산안법</t>
        </is>
      </c>
      <c r="F734" s="8" t="inlineStr">
        <is>
          <t>설계변경요청제도</t>
        </is>
      </c>
      <c r="G734" s="24" t="inlineStr">
        <is>
          <t>산업안전보건법상 위험한 가설구조물이라고 판단되는 가설구조물에 대한 설계변경 요청제도에 대하여 설명하시오.</t>
        </is>
      </c>
    </row>
    <row r="735" customFormat="1" s="1">
      <c r="A735" s="6" t="n">
        <v>331</v>
      </c>
      <c r="B735" s="145" t="n">
        <v>115</v>
      </c>
      <c r="C735" s="146" t="n">
        <v>3</v>
      </c>
      <c r="D735" s="7" t="n">
        <v>2</v>
      </c>
      <c r="E735" s="6" t="inlineStr">
        <is>
          <t>계절재해</t>
        </is>
      </c>
      <c r="F735" s="8" t="inlineStr">
        <is>
          <t>장마철</t>
        </is>
      </c>
      <c r="G735" s="24" t="inlineStr">
        <is>
          <t>건설현장에서 장마철 위험요인별 위험요인 및 안전대책에 대하여 설명하시오.</t>
        </is>
      </c>
    </row>
    <row r="736" customFormat="1" s="1">
      <c r="A736" s="6" t="n">
        <v>332</v>
      </c>
      <c r="B736" s="145" t="n">
        <v>115</v>
      </c>
      <c r="C736" s="146" t="n">
        <v>3</v>
      </c>
      <c r="D736" s="7" t="n">
        <v>3</v>
      </c>
      <c r="E736" s="6" t="inlineStr">
        <is>
          <t>지진</t>
        </is>
      </c>
      <c r="F736" s="8" t="inlineStr">
        <is>
          <t>내진설계</t>
        </is>
      </c>
      <c r="G736" s="24" t="inlineStr">
        <is>
          <t>지진발생시 내진 안전 확보를 위한 내진설계 기본개념과 도로교의 내진등급에 대하여 설명하시오.</t>
        </is>
      </c>
    </row>
    <row r="737" ht="33" customFormat="1" customHeight="1" s="1">
      <c r="A737" s="6" t="n">
        <v>333</v>
      </c>
      <c r="B737" s="145" t="n">
        <v>115</v>
      </c>
      <c r="C737" s="146" t="n">
        <v>3</v>
      </c>
      <c r="D737" s="7" t="n">
        <v>4</v>
      </c>
      <c r="E737" s="6" t="inlineStr">
        <is>
          <t>토공</t>
        </is>
      </c>
      <c r="F737" s="8" t="inlineStr">
        <is>
          <t>사면안정</t>
        </is>
      </c>
      <c r="G737" s="24" t="inlineStr">
        <is>
          <t>대규모 암반구간에서 발생하기 쉬운 암반 붕괴의 원인, 안전대책 및 암반층별 비탈면 안정성 검토방법에 대하여 설명하시오.</t>
        </is>
      </c>
    </row>
    <row r="738" customFormat="1" s="1">
      <c r="A738" s="6" t="n">
        <v>334</v>
      </c>
      <c r="B738" s="145" t="n">
        <v>115</v>
      </c>
      <c r="C738" s="146" t="n">
        <v>3</v>
      </c>
      <c r="D738" s="7" t="n">
        <v>5</v>
      </c>
      <c r="E738" s="6" t="inlineStr">
        <is>
          <t>시설물안전법</t>
        </is>
      </c>
      <c r="F738" s="8" t="inlineStr">
        <is>
          <t>소규모 취약시설</t>
        </is>
      </c>
      <c r="G738" s="24" t="inlineStr">
        <is>
          <t>『시설물의 안전관리에 관한 특별법』에 따른 소규모 취약시설의 안전점검에 대하여 설명하시오.</t>
        </is>
      </c>
    </row>
    <row r="739" ht="33" customFormat="1" customHeight="1" s="1">
      <c r="A739" s="6" t="n">
        <v>335</v>
      </c>
      <c r="B739" s="145" t="n">
        <v>115</v>
      </c>
      <c r="C739" s="146" t="n">
        <v>3</v>
      </c>
      <c r="D739" s="7" t="n">
        <v>6</v>
      </c>
      <c r="E739" s="6" t="inlineStr">
        <is>
          <t>가설공사</t>
        </is>
      </c>
      <c r="F739" s="8" t="inlineStr">
        <is>
          <t>강관 동바리</t>
        </is>
      </c>
      <c r="G739" s="24" t="inlineStr">
        <is>
          <t>건설현장에서 파이프서포트를 사용하여 공사를 수행하여야 할 때 관련 법령을 안전 관리업무를 근거로 공정 순서대로 설명하시오.</t>
        </is>
      </c>
    </row>
    <row r="740" ht="33" customFormat="1" customHeight="1" s="1">
      <c r="A740" s="6" t="n">
        <v>336</v>
      </c>
      <c r="B740" s="145" t="n">
        <v>115</v>
      </c>
      <c r="C740" s="146" t="n">
        <v>4</v>
      </c>
      <c r="D740" s="7" t="n">
        <v>1</v>
      </c>
      <c r="E740" s="6" t="inlineStr">
        <is>
          <t>재해유형</t>
        </is>
      </c>
      <c r="F740" s="8" t="inlineStr">
        <is>
          <t>화재</t>
        </is>
      </c>
      <c r="G740" s="24" t="inlineStr">
        <is>
          <t>통풍ㆍ환기가 충분하지 않고 가연물이 있는 건축물 내부나 설비 내부에서 화재위험 작업을 할 경우 화재감시자의 배치기준과 화재예방 준수사항에 대하여 설명하시오.</t>
        </is>
      </c>
    </row>
    <row r="741" ht="33" customFormat="1" customHeight="1" s="1">
      <c r="A741" s="6" t="n">
        <v>337</v>
      </c>
      <c r="B741" s="145" t="n">
        <v>115</v>
      </c>
      <c r="C741" s="146" t="n">
        <v>4</v>
      </c>
      <c r="D741" s="7" t="n">
        <v>2</v>
      </c>
      <c r="E741" s="6" t="inlineStr">
        <is>
          <t>기초</t>
        </is>
      </c>
      <c r="F741" s="8" t="inlineStr">
        <is>
          <t>흙막이</t>
        </is>
      </c>
      <c r="G741" s="24" t="inlineStr">
        <is>
          <t>건설공사의 흙막이지보공법을 버팀보공법으로 설계하였다. 시공 전 도면검토부터 버팀보공법 설치, 유지관리, 해체 단계별 안전관리 핵심요소를 설명하시오.</t>
        </is>
      </c>
    </row>
    <row r="742" ht="33" customFormat="1" customHeight="1" s="1">
      <c r="A742" s="6" t="n">
        <v>338</v>
      </c>
      <c r="B742" s="145" t="n">
        <v>115</v>
      </c>
      <c r="C742" s="146" t="n">
        <v>4</v>
      </c>
      <c r="D742" s="7" t="n">
        <v>3</v>
      </c>
      <c r="E742" s="6" t="inlineStr">
        <is>
          <t>터널</t>
        </is>
      </c>
      <c r="F742" s="8" t="inlineStr">
        <is>
          <t>계측</t>
        </is>
      </c>
      <c r="G742" s="24" t="inlineStr">
        <is>
          <t>터널 굴착공법 중 NATM공법 적용 시 터널굴착의 안전 확보를 위해 시행하는 시공 중 계측항목 계측방법과 공용 중 유지관리 계측시스템에 대해서 설명하시오.</t>
        </is>
      </c>
    </row>
    <row r="743" ht="33" customFormat="1" customHeight="1" s="1">
      <c r="A743" s="6" t="n">
        <v>339</v>
      </c>
      <c r="B743" s="145" t="n">
        <v>115</v>
      </c>
      <c r="C743" s="146" t="n">
        <v>4</v>
      </c>
      <c r="D743" s="7" t="n">
        <v>4</v>
      </c>
      <c r="E743" s="6" t="inlineStr">
        <is>
          <t>시설물안전법</t>
        </is>
      </c>
      <c r="F743" s="8" t="inlineStr">
        <is>
          <t>안전점검</t>
        </is>
      </c>
      <c r="G743" s="24" t="inlineStr">
        <is>
          <t>철근콘크리트 교량 구조물에 발생된 각종 노후화 손상에 대하여 안전도 확보를 위하여 시행되는 보수ㆍ보강 공법 및 방법에 대해서 설명하시오.</t>
        </is>
      </c>
    </row>
    <row r="744" ht="33" customFormat="1" customHeight="1" s="1">
      <c r="A744" s="6" t="n">
        <v>340</v>
      </c>
      <c r="B744" s="145" t="n">
        <v>115</v>
      </c>
      <c r="C744" s="146" t="n">
        <v>4</v>
      </c>
      <c r="D744" s="7" t="n">
        <v>5</v>
      </c>
      <c r="E744" s="6" t="inlineStr">
        <is>
          <t>시사 이슈 문제</t>
        </is>
      </c>
      <c r="F744" s="8" t="inlineStr">
        <is>
          <t>건설기술진흥기본계획</t>
        </is>
      </c>
      <c r="G744" s="24" t="inlineStr">
        <is>
          <t>정부에서『건설기술 진흥법』제3조에 의하여 최근 발표한 “제6차 건설기술진흥기본 계획(2018∼2022)” 중 안전관리 사항에 대하여 설명하시오.</t>
        </is>
      </c>
    </row>
    <row r="745" ht="33" customFormat="1" customHeight="1" s="1">
      <c r="A745" s="6" t="n">
        <v>341</v>
      </c>
      <c r="B745" s="145" t="n">
        <v>115</v>
      </c>
      <c r="C745" s="146" t="n">
        <v>4</v>
      </c>
      <c r="D745" s="7" t="n">
        <v>6</v>
      </c>
      <c r="E745" s="6" t="inlineStr">
        <is>
          <t>해체공사</t>
        </is>
      </c>
      <c r="F745" s="8" t="n"/>
      <c r="G745" s="24" t="inlineStr">
        <is>
          <t>주민이 거주하고 있는 협소한 아파트 단지 내에서 높고 세장한 철근콘크리트 굴뚝을 철거할 때, 적용 가능한 기계식 해체공법 및 안전대책을 설명하시오.</t>
        </is>
      </c>
    </row>
    <row r="746" customFormat="1" s="1">
      <c r="A746" s="6" t="n">
        <v>342</v>
      </c>
      <c r="B746" s="145" t="n">
        <v>114</v>
      </c>
      <c r="C746" s="146" t="n">
        <v>1</v>
      </c>
      <c r="D746" s="7" t="n">
        <v>1</v>
      </c>
      <c r="E746" s="6" t="inlineStr">
        <is>
          <t>가설공사</t>
        </is>
      </c>
      <c r="F746" s="8" t="inlineStr">
        <is>
          <t>가설통로</t>
        </is>
      </c>
      <c r="G746" s="24" t="inlineStr">
        <is>
          <t>가설통로 종류 및 조립 설치 안전기준</t>
        </is>
      </c>
    </row>
    <row r="747" customFormat="1" s="1">
      <c r="A747" s="6" t="n">
        <v>343</v>
      </c>
      <c r="B747" s="145" t="n">
        <v>114</v>
      </c>
      <c r="C747" s="146" t="n">
        <v>1</v>
      </c>
      <c r="D747" s="7" t="n">
        <v>2</v>
      </c>
      <c r="E747" s="6" t="inlineStr">
        <is>
          <t>안전관리론</t>
        </is>
      </c>
      <c r="F747" s="8" t="inlineStr">
        <is>
          <t>안전심리_트라우마</t>
        </is>
      </c>
      <c r="G747" s="24" t="inlineStr">
        <is>
          <t>건설현장 재해 트라우마(Trauma)</t>
        </is>
      </c>
    </row>
    <row r="748" customFormat="1" s="1">
      <c r="A748" s="6" t="n">
        <v>344</v>
      </c>
      <c r="B748" s="145" t="n">
        <v>114</v>
      </c>
      <c r="C748" s="146" t="n">
        <v>1</v>
      </c>
      <c r="D748" s="7" t="n">
        <v>3</v>
      </c>
      <c r="E748" s="6" t="inlineStr">
        <is>
          <t>산안법</t>
        </is>
      </c>
      <c r="F748" s="8" t="inlineStr">
        <is>
          <t>안전보건조정자</t>
        </is>
      </c>
      <c r="G748" s="24" t="inlineStr">
        <is>
          <t>안전보건조정자</t>
        </is>
      </c>
    </row>
    <row r="749" customFormat="1" s="1">
      <c r="A749" s="6" t="n">
        <v>345</v>
      </c>
      <c r="B749" s="145" t="n">
        <v>114</v>
      </c>
      <c r="C749" s="146" t="n">
        <v>1</v>
      </c>
      <c r="D749" s="7" t="n">
        <v>4</v>
      </c>
      <c r="E749" s="6" t="inlineStr">
        <is>
          <t>산안법</t>
        </is>
      </c>
      <c r="F749" s="8" t="inlineStr">
        <is>
          <t>안전보건교육</t>
        </is>
      </c>
      <c r="G749" s="24" t="inlineStr">
        <is>
          <t>특별안전보건교육 대상작업 중 건설업에 해당하는 작업(10개)</t>
        </is>
      </c>
    </row>
    <row r="750" customFormat="1" s="1">
      <c r="A750" s="6" t="n">
        <v>346</v>
      </c>
      <c r="B750" s="145" t="n">
        <v>114</v>
      </c>
      <c r="C750" s="146" t="n">
        <v>1</v>
      </c>
      <c r="D750" s="7" t="n">
        <v>5</v>
      </c>
      <c r="E750" s="6" t="inlineStr">
        <is>
          <t>철골</t>
        </is>
      </c>
      <c r="F750" s="8" t="inlineStr">
        <is>
          <t>고력볼트</t>
        </is>
      </c>
      <c r="G750" s="24" t="inlineStr">
        <is>
          <t>고력볼트 반입검사</t>
        </is>
      </c>
    </row>
    <row r="751" customFormat="1" s="1">
      <c r="A751" s="6" t="n">
        <v>347</v>
      </c>
      <c r="B751" s="145" t="n">
        <v>114</v>
      </c>
      <c r="C751" s="146" t="n">
        <v>1</v>
      </c>
      <c r="D751" s="7" t="n">
        <v>6</v>
      </c>
      <c r="E751" s="6" t="inlineStr">
        <is>
          <t>산안법</t>
        </is>
      </c>
      <c r="F751" s="8" t="inlineStr">
        <is>
          <t>소음작업</t>
        </is>
      </c>
      <c r="G751" s="24" t="inlineStr">
        <is>
          <t>소음작업 중 강렬한 소음 및 충격소음작업</t>
        </is>
      </c>
    </row>
    <row r="752" customFormat="1" s="1">
      <c r="A752" s="6" t="n">
        <v>348</v>
      </c>
      <c r="B752" s="145" t="n">
        <v>114</v>
      </c>
      <c r="C752" s="146" t="n">
        <v>1</v>
      </c>
      <c r="D752" s="7" t="n">
        <v>7</v>
      </c>
      <c r="E752" s="6" t="inlineStr">
        <is>
          <t>산안법</t>
        </is>
      </c>
      <c r="F752" s="8" t="inlineStr">
        <is>
          <t>항타기 도괴</t>
        </is>
      </c>
      <c r="G752" s="24" t="inlineStr">
        <is>
          <t>항타기 도괴 방지</t>
        </is>
      </c>
    </row>
    <row r="753" customFormat="1" s="1">
      <c r="A753" s="6" t="n">
        <v>349</v>
      </c>
      <c r="B753" s="145" t="n">
        <v>114</v>
      </c>
      <c r="C753" s="146" t="n">
        <v>1</v>
      </c>
      <c r="D753" s="7" t="n">
        <v>8</v>
      </c>
      <c r="E753" s="6" t="inlineStr">
        <is>
          <t>콘크리트</t>
        </is>
      </c>
      <c r="F753" s="8" t="inlineStr">
        <is>
          <t>자기치유</t>
        </is>
      </c>
      <c r="G753" s="24" t="inlineStr">
        <is>
          <t>자기치유 콘크리트(Self-Healing Concrete)</t>
        </is>
      </c>
    </row>
    <row r="754" customFormat="1" s="1">
      <c r="A754" s="6" t="n">
        <v>350</v>
      </c>
      <c r="B754" s="145" t="n">
        <v>114</v>
      </c>
      <c r="C754" s="146" t="n">
        <v>1</v>
      </c>
      <c r="D754" s="7" t="n">
        <v>9</v>
      </c>
      <c r="E754" s="6" t="inlineStr">
        <is>
          <t>콘크리트</t>
        </is>
      </c>
      <c r="F754" s="8" t="inlineStr">
        <is>
          <t>거푸집 동바리</t>
        </is>
      </c>
      <c r="G754" s="24" t="inlineStr">
        <is>
          <t>기둥의 좌굴(Buckling)</t>
        </is>
      </c>
    </row>
    <row r="755" customFormat="1" s="1">
      <c r="A755" s="6" t="n">
        <v>351</v>
      </c>
      <c r="B755" s="145" t="n">
        <v>114</v>
      </c>
      <c r="C755" s="146" t="n">
        <v>1</v>
      </c>
      <c r="D755" s="7" t="n">
        <v>10</v>
      </c>
      <c r="E755" s="6" t="inlineStr">
        <is>
          <t>산안법</t>
        </is>
      </c>
      <c r="F755" s="8" t="inlineStr">
        <is>
          <t>건강진단</t>
        </is>
      </c>
      <c r="G755" s="24" t="inlineStr">
        <is>
          <t>산업안전보건법상 건강진단의 종류, 대상, 시기</t>
        </is>
      </c>
    </row>
    <row r="756" customFormat="1" s="1">
      <c r="A756" s="6" t="n">
        <v>352</v>
      </c>
      <c r="B756" s="145" t="n">
        <v>114</v>
      </c>
      <c r="C756" s="146" t="n">
        <v>1</v>
      </c>
      <c r="D756" s="7" t="n">
        <v>11</v>
      </c>
      <c r="E756" s="6" t="inlineStr">
        <is>
          <t>제방 댐 항만</t>
        </is>
      </c>
      <c r="F756" s="8" t="inlineStr">
        <is>
          <t>유선망</t>
        </is>
      </c>
      <c r="G756" s="24" t="inlineStr">
        <is>
          <t>유선망과 침윤선</t>
        </is>
      </c>
    </row>
    <row r="757" customFormat="1" s="1">
      <c r="A757" s="6" t="n">
        <v>353</v>
      </c>
      <c r="B757" s="145" t="n">
        <v>114</v>
      </c>
      <c r="C757" s="146" t="n">
        <v>1</v>
      </c>
      <c r="D757" s="7" t="n">
        <v>12</v>
      </c>
      <c r="E757" s="6" t="inlineStr">
        <is>
          <t>기초</t>
        </is>
      </c>
      <c r="F757" s="8" t="inlineStr">
        <is>
          <t>보강토옹벽</t>
        </is>
      </c>
      <c r="G757" s="24" t="inlineStr">
        <is>
          <t>보강토옹벽의 파괴 유형</t>
        </is>
      </c>
    </row>
    <row r="758" customFormat="1" s="1">
      <c r="A758" s="6" t="n">
        <v>354</v>
      </c>
      <c r="B758" s="145" t="n">
        <v>114</v>
      </c>
      <c r="C758" s="146" t="n">
        <v>1</v>
      </c>
      <c r="D758" s="7" t="n">
        <v>13</v>
      </c>
      <c r="E758" s="6" t="inlineStr">
        <is>
          <t>토공</t>
        </is>
      </c>
      <c r="F758" s="8" t="inlineStr">
        <is>
          <t>암반사면</t>
        </is>
      </c>
      <c r="G758" s="24" t="inlineStr">
        <is>
          <t>암반 사면의 안전성 평가방법</t>
        </is>
      </c>
    </row>
    <row r="759" ht="33" customFormat="1" customHeight="1" s="1">
      <c r="A759" s="6" t="n">
        <v>355</v>
      </c>
      <c r="B759" s="145" t="n">
        <v>114</v>
      </c>
      <c r="C759" s="146" t="n">
        <v>2</v>
      </c>
      <c r="D759" s="7" t="n">
        <v>1</v>
      </c>
      <c r="E759" s="6" t="inlineStr">
        <is>
          <t>재해유형</t>
        </is>
      </c>
      <c r="F759" s="8" t="inlineStr">
        <is>
          <t>화재</t>
        </is>
      </c>
      <c r="G759" s="24" t="inlineStr">
        <is>
          <t>지하 3층 지상 6층 규모의 건축면적이 1,000㎡ 건축물 대수선공사에서 발생할 수 있는 화재유형과 화재예방대책 및 임시소방시설의 종류를 설명하시오.</t>
        </is>
      </c>
    </row>
    <row r="760" customFormat="1" s="1">
      <c r="A760" s="6" t="n">
        <v>356</v>
      </c>
      <c r="B760" s="145" t="n">
        <v>114</v>
      </c>
      <c r="C760" s="146" t="n">
        <v>2</v>
      </c>
      <c r="D760" s="7" t="n">
        <v>2</v>
      </c>
      <c r="E760" s="6" t="inlineStr">
        <is>
          <t>산안법</t>
        </is>
      </c>
      <c r="F760" s="8" t="inlineStr">
        <is>
          <t>KOSHA18001</t>
        </is>
      </c>
      <c r="G760" s="24" t="inlineStr">
        <is>
          <t>건설업 KOSHA 18001 인증절차 및 현장분야 인증항목에 대하여 설명하시오.</t>
        </is>
      </c>
    </row>
    <row r="761" customFormat="1" s="1">
      <c r="A761" s="6" t="n">
        <v>357</v>
      </c>
      <c r="B761" s="145" t="n">
        <v>114</v>
      </c>
      <c r="C761" s="146" t="n">
        <v>2</v>
      </c>
      <c r="D761" s="7" t="n">
        <v>3</v>
      </c>
      <c r="E761" s="6" t="inlineStr">
        <is>
          <t>산안법</t>
        </is>
      </c>
      <c r="F761" s="8" t="inlineStr">
        <is>
          <t>산업안전보건관리비</t>
        </is>
      </c>
      <c r="G761" s="24" t="inlineStr">
        <is>
          <t>건설업 산업안전보건관리비 사용 가능 내역과 불가능 내역 및 효율적 사용방안에 대하여 설명하시오.</t>
        </is>
      </c>
    </row>
    <row r="762" customFormat="1" s="1">
      <c r="A762" s="6" t="n">
        <v>358</v>
      </c>
      <c r="B762" s="145" t="n">
        <v>114</v>
      </c>
      <c r="C762" s="146" t="n">
        <v>2</v>
      </c>
      <c r="D762" s="7" t="n">
        <v>4</v>
      </c>
      <c r="E762" s="6" t="inlineStr">
        <is>
          <t>기초</t>
        </is>
      </c>
      <c r="F762" s="8" t="inlineStr">
        <is>
          <t>흙막이 어스앵커</t>
        </is>
      </c>
      <c r="G762" s="24" t="inlineStr">
        <is>
          <t>흙막이(H-pile+토류판) 벽체에 어스앵커 지지공법의 시공단계별 위험요인 및 안전대책에 대하여 설명하시오.</t>
        </is>
      </c>
    </row>
    <row r="763" ht="33" customFormat="1" customHeight="1" s="1">
      <c r="A763" s="6" t="n">
        <v>359</v>
      </c>
      <c r="B763" s="145" t="n">
        <v>114</v>
      </c>
      <c r="C763" s="146" t="n">
        <v>2</v>
      </c>
      <c r="D763" s="7" t="n">
        <v>5</v>
      </c>
      <c r="E763" s="6" t="inlineStr">
        <is>
          <t>건설기계</t>
        </is>
      </c>
      <c r="F763" s="8" t="inlineStr">
        <is>
          <t>타워크레인</t>
        </is>
      </c>
      <c r="G763" s="24" t="inlineStr">
        <is>
          <t>타워크레인 설치․해체 작업 시 위험요인과 안전대책 및 인상작업(Telescoping) 시 주의사항에 대하여 설명하시오.</t>
        </is>
      </c>
    </row>
    <row r="764" customFormat="1" s="1">
      <c r="A764" s="6" t="n">
        <v>360</v>
      </c>
      <c r="B764" s="145" t="n">
        <v>114</v>
      </c>
      <c r="C764" s="146" t="n">
        <v>2</v>
      </c>
      <c r="D764" s="7" t="n">
        <v>6</v>
      </c>
      <c r="E764" s="6" t="inlineStr">
        <is>
          <t>지진</t>
        </is>
      </c>
      <c r="F764" s="8" t="inlineStr">
        <is>
          <t>지진 외장재 마감탈락</t>
        </is>
      </c>
      <c r="G764" s="24" t="inlineStr">
        <is>
          <t>지진 발생 시 건축물 외장재 마감 공법별 탈락 재해 원인 및 안전대책을 설명하시오.</t>
        </is>
      </c>
    </row>
    <row r="765" customFormat="1" s="1">
      <c r="A765" s="6" t="n">
        <v>361</v>
      </c>
      <c r="B765" s="145" t="n">
        <v>114</v>
      </c>
      <c r="C765" s="146" t="n">
        <v>3</v>
      </c>
      <c r="D765" s="7" t="n">
        <v>1</v>
      </c>
      <c r="E765" s="6" t="inlineStr">
        <is>
          <t>산안법</t>
        </is>
      </c>
      <c r="F765" s="8" t="inlineStr">
        <is>
          <t>작업중지 명령 해제</t>
        </is>
      </c>
      <c r="G765" s="24" t="inlineStr">
        <is>
          <t>고용노동부 안전정책 중, ‘중대재해 등 발생 시 작업중지 명령 해제 운영기준’에 대하여 설명하시오.</t>
        </is>
      </c>
    </row>
    <row r="766" customFormat="1" s="1">
      <c r="A766" s="6" t="n">
        <v>362</v>
      </c>
      <c r="B766" s="145" t="n">
        <v>114</v>
      </c>
      <c r="C766" s="146" t="n">
        <v>3</v>
      </c>
      <c r="D766" s="7" t="n">
        <v>2</v>
      </c>
      <c r="E766" s="6" t="inlineStr">
        <is>
          <t>지특법</t>
        </is>
      </c>
      <c r="F766" s="8" t="inlineStr">
        <is>
          <t>지하안전평가</t>
        </is>
      </c>
      <c r="G766" s="24" t="inlineStr">
        <is>
          <t>지하안전관리에 관한 특별법의 지하안전영향평가에 대하여 설명하시오.</t>
        </is>
      </c>
    </row>
    <row r="767" customFormat="1" s="1">
      <c r="A767" s="6" t="n">
        <v>363</v>
      </c>
      <c r="B767" s="145" t="n">
        <v>114</v>
      </c>
      <c r="C767" s="146" t="n">
        <v>3</v>
      </c>
      <c r="D767" s="7" t="n">
        <v>3</v>
      </c>
      <c r="E767" s="6" t="inlineStr">
        <is>
          <t>가설공사</t>
        </is>
      </c>
      <c r="F767" s="8" t="inlineStr">
        <is>
          <t>풍압</t>
        </is>
      </c>
      <c r="G767" s="24" t="inlineStr">
        <is>
          <t>풍압이 가설구조물에 미치는 영향 및 안전대책에 대하여 설명하시오.</t>
        </is>
      </c>
    </row>
    <row r="768" customFormat="1" s="1">
      <c r="A768" s="6" t="n">
        <v>364</v>
      </c>
      <c r="B768" s="145" t="n">
        <v>114</v>
      </c>
      <c r="C768" s="146" t="n">
        <v>3</v>
      </c>
      <c r="D768" s="7" t="n">
        <v>4</v>
      </c>
      <c r="E768" s="6" t="inlineStr">
        <is>
          <t>콘크리트</t>
        </is>
      </c>
      <c r="F768" s="8" t="inlineStr">
        <is>
          <t>거푸집 동바리</t>
        </is>
      </c>
      <c r="G768" s="24" t="inlineStr">
        <is>
          <t>거푸집동바리 설계․시공 시 붕괴 유발요인 및 안전성 확보 방안에 대하여 설명하시오.</t>
        </is>
      </c>
    </row>
    <row r="769" ht="33" customFormat="1" customHeight="1" s="1">
      <c r="A769" s="6" t="n">
        <v>365</v>
      </c>
      <c r="B769" s="145" t="n">
        <v>114</v>
      </c>
      <c r="C769" s="146" t="n">
        <v>3</v>
      </c>
      <c r="D769" s="7" t="n">
        <v>5</v>
      </c>
      <c r="E769" s="6" t="inlineStr">
        <is>
          <t>시설물안전법</t>
        </is>
      </c>
      <c r="F769" s="8" t="inlineStr">
        <is>
          <t>3종 시설물</t>
        </is>
      </c>
      <c r="G769" s="24" t="inlineStr">
        <is>
          <t>시설물의 안전 및 유지관리에 관한 특별법상 3종 시설물의 지정 권한 대상 및 시설물의 범위에 대하여 설명하시오.</t>
        </is>
      </c>
    </row>
    <row r="770" customFormat="1" s="1">
      <c r="A770" s="6" t="n">
        <v>366</v>
      </c>
      <c r="B770" s="145" t="n">
        <v>114</v>
      </c>
      <c r="C770" s="146" t="n">
        <v>3</v>
      </c>
      <c r="D770" s="7" t="n">
        <v>6</v>
      </c>
      <c r="E770" s="6" t="inlineStr">
        <is>
          <t>터널</t>
        </is>
      </c>
      <c r="F770" s="8" t="inlineStr">
        <is>
          <t>NATM 사고 유형</t>
        </is>
      </c>
      <c r="G770" s="24" t="inlineStr">
        <is>
          <t>터널공사에서 NATM공법 시공 중 발생하는 사고의 유형별 원인 및 안전대책에 대하여 설명하시오.</t>
        </is>
      </c>
    </row>
    <row r="771" ht="33" customFormat="1" customHeight="1" s="1">
      <c r="A771" s="6" t="n">
        <v>367</v>
      </c>
      <c r="B771" s="145" t="n">
        <v>114</v>
      </c>
      <c r="C771" s="146" t="n">
        <v>4</v>
      </c>
      <c r="D771" s="7" t="n">
        <v>1</v>
      </c>
      <c r="E771" s="6" t="inlineStr">
        <is>
          <t>기초</t>
        </is>
      </c>
      <c r="F771" s="8" t="inlineStr">
        <is>
          <t>부력 양압력 부상</t>
        </is>
      </c>
      <c r="G771" s="24" t="inlineStr">
        <is>
          <t>하천구역 인근에서 지하구조물 공사 시 지하수 처리공법의 종류와 지하구조물 부상 발생원인 및 방지대책에 대하여 설명하시오.</t>
        </is>
      </c>
    </row>
    <row r="772" customFormat="1" s="1">
      <c r="A772" s="6" t="n">
        <v>368</v>
      </c>
      <c r="B772" s="145" t="n">
        <v>114</v>
      </c>
      <c r="C772" s="146" t="n">
        <v>4</v>
      </c>
      <c r="D772" s="7" t="n">
        <v>2</v>
      </c>
      <c r="E772" s="6" t="inlineStr">
        <is>
          <t>재해유형</t>
        </is>
      </c>
      <c r="F772" s="8" t="inlineStr">
        <is>
          <t>유기용제</t>
        </is>
      </c>
      <c r="G772" s="24" t="inlineStr">
        <is>
          <t>방수공사 중 유기용제류 사용 시 고려사항 및 안전대책에 대하여 설명하시오.</t>
        </is>
      </c>
    </row>
    <row r="773" customFormat="1" s="1">
      <c r="A773" s="6" t="n">
        <v>369</v>
      </c>
      <c r="B773" s="145" t="n">
        <v>114</v>
      </c>
      <c r="C773" s="146" t="n">
        <v>4</v>
      </c>
      <c r="D773" s="7" t="n">
        <v>3</v>
      </c>
      <c r="E773" s="6" t="inlineStr">
        <is>
          <t>건설기계</t>
        </is>
      </c>
      <c r="F773" s="8" t="inlineStr">
        <is>
          <t>차량계 하역운반기계</t>
        </is>
      </c>
      <c r="G773" s="24" t="inlineStr">
        <is>
          <t>건설현장에서 차량계 하역운반기계 작업의 유해위험요인 및 재해예방대책에 대하여 설명하시오.</t>
        </is>
      </c>
    </row>
    <row r="774" customFormat="1" s="1">
      <c r="A774" s="6" t="n">
        <v>370</v>
      </c>
      <c r="B774" s="145" t="n">
        <v>114</v>
      </c>
      <c r="C774" s="146" t="n">
        <v>4</v>
      </c>
      <c r="D774" s="7" t="n">
        <v>4</v>
      </c>
      <c r="E774" s="6" t="inlineStr">
        <is>
          <t>가설공사</t>
        </is>
      </c>
      <c r="F774" s="8" t="inlineStr">
        <is>
          <t>강관비계</t>
        </is>
      </c>
      <c r="G774" s="24" t="inlineStr">
        <is>
          <t>가설비계 중 강관비계 설치기준과 사고방지 대책에 대하여 설명하시오.</t>
        </is>
      </c>
    </row>
    <row r="775" customFormat="1" s="1">
      <c r="A775" s="6" t="n">
        <v>371</v>
      </c>
      <c r="B775" s="145" t="n">
        <v>114</v>
      </c>
      <c r="C775" s="146" t="n">
        <v>4</v>
      </c>
      <c r="D775" s="7" t="n">
        <v>5</v>
      </c>
      <c r="E775" s="6" t="inlineStr">
        <is>
          <t>건축</t>
        </is>
      </c>
      <c r="F775" s="8" t="inlineStr">
        <is>
          <t>고층 건축물 재해유형</t>
        </is>
      </c>
      <c r="G775" s="24" t="inlineStr">
        <is>
          <t>고층 건축물의 재해 유형별 사고 원인 및 방지대책에 대하여 설명하시오.</t>
        </is>
      </c>
    </row>
    <row r="776" ht="33" customFormat="1" customHeight="1" s="1">
      <c r="A776" s="6" t="n">
        <v>372</v>
      </c>
      <c r="B776" s="145" t="n">
        <v>114</v>
      </c>
      <c r="C776" s="146" t="n">
        <v>4</v>
      </c>
      <c r="D776" s="7" t="n">
        <v>6</v>
      </c>
      <c r="E776" s="6" t="inlineStr">
        <is>
          <t>교량</t>
        </is>
      </c>
      <c r="F776" s="8" t="inlineStr">
        <is>
          <t>가설공법(ILM)</t>
        </is>
      </c>
      <c r="G776" s="24" t="inlineStr">
        <is>
          <t>콘크리트 교량의 가설공법 중 ILM(Incremental Launching Method)공법 특징과 작업 시 사고방지대책에 대하여 설명하시오.</t>
        </is>
      </c>
    </row>
    <row r="777" customFormat="1" s="1">
      <c r="A777" s="6" t="n">
        <v>373</v>
      </c>
      <c r="B777" s="145" t="n">
        <v>113</v>
      </c>
      <c r="C777" s="146" t="n">
        <v>1</v>
      </c>
      <c r="D777" s="7" t="n">
        <v>1</v>
      </c>
      <c r="E777" s="6" t="inlineStr">
        <is>
          <t>안전관리론</t>
        </is>
      </c>
      <c r="F777" s="8" t="inlineStr">
        <is>
          <t>무재해운동_지적확인</t>
        </is>
      </c>
      <c r="G777" s="24" t="inlineStr">
        <is>
          <t>지적확인을 설명하시오.</t>
        </is>
      </c>
    </row>
    <row r="778" customFormat="1" s="1">
      <c r="A778" s="6" t="n">
        <v>374</v>
      </c>
      <c r="B778" s="145" t="n">
        <v>113</v>
      </c>
      <c r="C778" s="146" t="n">
        <v>1</v>
      </c>
      <c r="D778" s="7" t="n">
        <v>2</v>
      </c>
      <c r="E778" s="6" t="inlineStr">
        <is>
          <t>산안법</t>
        </is>
      </c>
      <c r="F778" s="8" t="inlineStr">
        <is>
          <t>사전작업허가제</t>
        </is>
      </c>
      <c r="G778" s="24" t="inlineStr">
        <is>
          <t>사전작업허가제(Permit to Work) 대상을 설명하시오.</t>
        </is>
      </c>
    </row>
    <row r="779" customFormat="1" s="1">
      <c r="A779" s="6" t="n">
        <v>375</v>
      </c>
      <c r="B779" s="145" t="n">
        <v>113</v>
      </c>
      <c r="C779" s="146" t="n">
        <v>1</v>
      </c>
      <c r="D779" s="7" t="n">
        <v>3</v>
      </c>
      <c r="E779" s="6" t="inlineStr">
        <is>
          <t>건진법</t>
        </is>
      </c>
      <c r="F779" s="8" t="inlineStr">
        <is>
          <t>재사용 가설기자재</t>
        </is>
      </c>
      <c r="G779" s="24" t="inlineStr">
        <is>
          <t>재사용 가설기자재의 폐기기준 및 성능기준을 설명하시오.</t>
        </is>
      </c>
    </row>
    <row r="780" customFormat="1" s="1">
      <c r="A780" s="6" t="n">
        <v>376</v>
      </c>
      <c r="B780" s="145" t="n">
        <v>113</v>
      </c>
      <c r="C780" s="146" t="n">
        <v>1</v>
      </c>
      <c r="D780" s="7" t="n">
        <v>4</v>
      </c>
      <c r="E780" s="6" t="inlineStr">
        <is>
          <t>강재</t>
        </is>
      </c>
      <c r="F780" s="8" t="inlineStr">
        <is>
          <t>용접결함</t>
        </is>
      </c>
      <c r="G780" s="24" t="inlineStr">
        <is>
          <t>용접결함 보정방법을 설명하시오.</t>
        </is>
      </c>
    </row>
    <row r="781" customFormat="1" s="1">
      <c r="A781" s="6" t="n">
        <v>377</v>
      </c>
      <c r="B781" s="145" t="n">
        <v>113</v>
      </c>
      <c r="C781" s="146" t="n">
        <v>1</v>
      </c>
      <c r="D781" s="7" t="n">
        <v>5</v>
      </c>
      <c r="E781" s="6" t="inlineStr">
        <is>
          <t>교량</t>
        </is>
      </c>
      <c r="F781" s="8" t="inlineStr">
        <is>
          <t>교량받침</t>
        </is>
      </c>
      <c r="G781" s="24" t="inlineStr">
        <is>
          <t>교량받침에 작용하는 부반력에 대한 안전대책을 설명하시오.</t>
        </is>
      </c>
    </row>
    <row r="782" customFormat="1" s="1">
      <c r="A782" s="6" t="n">
        <v>378</v>
      </c>
      <c r="B782" s="145" t="n">
        <v>113</v>
      </c>
      <c r="C782" s="146" t="n">
        <v>1</v>
      </c>
      <c r="D782" s="7" t="n">
        <v>6</v>
      </c>
      <c r="E782" s="6" t="inlineStr">
        <is>
          <t>산안법</t>
        </is>
      </c>
      <c r="F782" s="8" t="inlineStr">
        <is>
          <t>안전진단</t>
        </is>
      </c>
      <c r="G782" s="24" t="inlineStr">
        <is>
          <t>산업안전보건법령상 안전진단을 설명하시오.</t>
        </is>
      </c>
    </row>
    <row r="783" customFormat="1" s="1">
      <c r="A783" s="6" t="n">
        <v>379</v>
      </c>
      <c r="B783" s="145" t="n">
        <v>113</v>
      </c>
      <c r="C783" s="146" t="n">
        <v>1</v>
      </c>
      <c r="D783" s="7" t="n">
        <v>7</v>
      </c>
      <c r="E783" s="6" t="inlineStr">
        <is>
          <t>산안법</t>
        </is>
      </c>
      <c r="F783" s="8" t="inlineStr">
        <is>
          <t>와이어로프</t>
        </is>
      </c>
      <c r="G783" s="24" t="inlineStr">
        <is>
          <t>슬링(Sling)의 단말 가공법(wire rope 중심) 종류를 설명하시오.</t>
        </is>
      </c>
    </row>
    <row r="784" customFormat="1" s="1">
      <c r="A784" s="6" t="n">
        <v>380</v>
      </c>
      <c r="B784" s="145" t="n">
        <v>113</v>
      </c>
      <c r="C784" s="146" t="n">
        <v>1</v>
      </c>
      <c r="D784" s="7" t="n">
        <v>8</v>
      </c>
      <c r="E784" s="6" t="inlineStr">
        <is>
          <t>산안법</t>
        </is>
      </c>
      <c r="F784" s="8" t="inlineStr">
        <is>
          <t>노사협의체</t>
        </is>
      </c>
      <c r="G784" s="24" t="inlineStr">
        <is>
          <t>안전·보건에 관한 노사협의체의 의결사항을 설명하시오.</t>
        </is>
      </c>
    </row>
    <row r="785" customFormat="1" s="1">
      <c r="A785" s="6" t="n">
        <v>381</v>
      </c>
      <c r="B785" s="145" t="n">
        <v>113</v>
      </c>
      <c r="C785" s="146" t="n">
        <v>1</v>
      </c>
      <c r="D785" s="7" t="n">
        <v>9</v>
      </c>
      <c r="E785" s="6" t="inlineStr">
        <is>
          <t>기초</t>
        </is>
      </c>
      <c r="F785" s="8" t="inlineStr">
        <is>
          <t>굴착공사</t>
        </is>
      </c>
      <c r="G785" s="24" t="inlineStr">
        <is>
          <t>지하굴착공사에서 설치하는 복공판의 구성요소와 안전관리사항을 설명하시오.</t>
        </is>
      </c>
    </row>
    <row r="786" customFormat="1" s="1">
      <c r="A786" s="6" t="n">
        <v>382</v>
      </c>
      <c r="B786" s="145" t="n">
        <v>113</v>
      </c>
      <c r="C786" s="146" t="n">
        <v>1</v>
      </c>
      <c r="D786" s="7" t="n">
        <v>10</v>
      </c>
      <c r="E786" s="6" t="inlineStr">
        <is>
          <t>토공</t>
        </is>
      </c>
      <c r="F786" s="8" t="inlineStr">
        <is>
          <t>전단파괴</t>
        </is>
      </c>
      <c r="G786" s="24" t="inlineStr">
        <is>
          <t>흙의 전단파괴 종류와 특징을 설명하시오.</t>
        </is>
      </c>
    </row>
    <row r="787" customFormat="1" s="1">
      <c r="A787" s="6" t="n">
        <v>383</v>
      </c>
      <c r="B787" s="145" t="n">
        <v>113</v>
      </c>
      <c r="C787" s="146" t="n">
        <v>1</v>
      </c>
      <c r="D787" s="7" t="n">
        <v>11</v>
      </c>
      <c r="E787" s="6" t="inlineStr">
        <is>
          <t>기초</t>
        </is>
      </c>
      <c r="F787" s="8" t="inlineStr">
        <is>
          <t>지하연속벽</t>
        </is>
      </c>
      <c r="G787" s="24" t="inlineStr">
        <is>
          <t>흙막이공사에서 안정액의 기능과 요구성능을 설명하시오.</t>
        </is>
      </c>
    </row>
    <row r="788" customFormat="1" s="1">
      <c r="A788" s="6" t="n">
        <v>384</v>
      </c>
      <c r="B788" s="145" t="n">
        <v>113</v>
      </c>
      <c r="C788" s="146" t="n">
        <v>1</v>
      </c>
      <c r="D788" s="7" t="n">
        <v>12</v>
      </c>
      <c r="E788" s="6" t="inlineStr">
        <is>
          <t>제방 댐 항만</t>
        </is>
      </c>
      <c r="F788" s="8" t="inlineStr">
        <is>
          <t>테트라포드</t>
        </is>
      </c>
      <c r="G788" s="24" t="inlineStr">
        <is>
          <t>테트라포드(Tetrapod, 소파블럭)의 안전대책 및 유의사항을 설명하시오.</t>
        </is>
      </c>
    </row>
    <row r="789" ht="33" customFormat="1" customHeight="1" s="1">
      <c r="A789" s="6" t="n">
        <v>385</v>
      </c>
      <c r="B789" s="145" t="n">
        <v>113</v>
      </c>
      <c r="C789" s="146" t="n">
        <v>1</v>
      </c>
      <c r="D789" s="7" t="n">
        <v>13</v>
      </c>
      <c r="E789" s="6" t="inlineStr">
        <is>
          <t>산안법</t>
        </is>
      </c>
      <c r="F789" s="8" t="inlineStr">
        <is>
          <t>위험성 평가</t>
        </is>
      </c>
      <c r="G789" s="24" t="inlineStr">
        <is>
          <t>위험도 평가 단계별 수행방법에서 다음 조건의 위험도를 계산하시오. 
(세부공종별 재해자수 : 1,000명, 전체 재해자수 : 20,000명, 세부공종별 산재요양 일수의 환산지수 : 7,000)</t>
        </is>
      </c>
    </row>
    <row r="790" customFormat="1" s="1">
      <c r="A790" s="6" t="n">
        <v>386</v>
      </c>
      <c r="B790" s="145" t="n">
        <v>113</v>
      </c>
      <c r="C790" s="146" t="n">
        <v>2</v>
      </c>
      <c r="D790" s="7" t="n">
        <v>1</v>
      </c>
      <c r="E790" s="6" t="inlineStr">
        <is>
          <t>안전관리론</t>
        </is>
      </c>
      <c r="F790" s="8" t="inlineStr">
        <is>
          <t>재해조사 및 통계</t>
        </is>
      </c>
      <c r="G790" s="24" t="inlineStr">
        <is>
          <t>재해조사의 3단계와 사고조사의 순서 및 재해조사 시 유의사항에 대하여 설명하시오.</t>
        </is>
      </c>
    </row>
    <row r="791" ht="33" customFormat="1" customHeight="1" s="1">
      <c r="A791" s="6" t="n">
        <v>387</v>
      </c>
      <c r="B791" s="145" t="n">
        <v>113</v>
      </c>
      <c r="C791" s="146" t="n">
        <v>2</v>
      </c>
      <c r="D791" s="7" t="n">
        <v>2</v>
      </c>
      <c r="E791" s="6" t="inlineStr">
        <is>
          <t>산안법</t>
        </is>
      </c>
      <c r="F791" s="8" t="inlineStr">
        <is>
          <t>건설재해예방기술지도</t>
        </is>
      </c>
      <c r="G791" s="24" t="inlineStr">
        <is>
          <t>건설재해예방기술지도 대상사업장과 기술지도 업무내용 및 재해예방전문지도기관의 평가기준을 설명하시오.</t>
        </is>
      </c>
    </row>
    <row r="792" customFormat="1" s="1">
      <c r="A792" s="6" t="n">
        <v>388</v>
      </c>
      <c r="B792" s="145" t="n">
        <v>113</v>
      </c>
      <c r="C792" s="146" t="n">
        <v>2</v>
      </c>
      <c r="D792" s="7" t="n">
        <v>3</v>
      </c>
      <c r="E792" s="6" t="inlineStr">
        <is>
          <t>건설기계</t>
        </is>
      </c>
      <c r="F792" s="8" t="inlineStr">
        <is>
          <t>펌프카</t>
        </is>
      </c>
      <c r="G792" s="24" t="inlineStr">
        <is>
          <t>건설현장에서 펌프카에 의한 콘크리트 타설 시 재해유형과 안전대책에 대하여 설명하시오.</t>
        </is>
      </c>
    </row>
    <row r="793" customFormat="1" s="1">
      <c r="A793" s="6" t="n">
        <v>389</v>
      </c>
      <c r="B793" s="145" t="n">
        <v>113</v>
      </c>
      <c r="C793" s="146" t="n">
        <v>2</v>
      </c>
      <c r="D793" s="7" t="n">
        <v>4</v>
      </c>
      <c r="E793" s="6" t="inlineStr">
        <is>
          <t>건축</t>
        </is>
      </c>
      <c r="F793" s="8" t="inlineStr">
        <is>
          <t>유리열깨짐</t>
        </is>
      </c>
      <c r="G793" s="24" t="inlineStr">
        <is>
          <t>건축물에 설치된 대형 유리에 대한 열 파손 및 깨짐 현상과 방지대책에 대하여 설명하시오.</t>
        </is>
      </c>
    </row>
    <row r="794" customFormat="1" s="1">
      <c r="A794" s="6" t="n">
        <v>390</v>
      </c>
      <c r="B794" s="145" t="n">
        <v>113</v>
      </c>
      <c r="C794" s="146" t="n">
        <v>2</v>
      </c>
      <c r="D794" s="7" t="n">
        <v>5</v>
      </c>
      <c r="E794" s="6" t="inlineStr">
        <is>
          <t>토공</t>
        </is>
      </c>
      <c r="F794" s="8" t="inlineStr">
        <is>
          <t>동상현상</t>
        </is>
      </c>
      <c r="G794" s="24" t="inlineStr">
        <is>
          <t>동절기 지반의 동상현상으로 인한 문제점 및 방지대책에 대하여 설명하시오.</t>
        </is>
      </c>
    </row>
    <row r="795" customFormat="1" s="1">
      <c r="A795" s="6" t="n">
        <v>391</v>
      </c>
      <c r="B795" s="145" t="n">
        <v>113</v>
      </c>
      <c r="C795" s="146" t="n">
        <v>2</v>
      </c>
      <c r="D795" s="7" t="n">
        <v>6</v>
      </c>
      <c r="E795" s="6" t="inlineStr">
        <is>
          <t>콘크리트</t>
        </is>
      </c>
      <c r="F795" s="8" t="inlineStr">
        <is>
          <t>균열과 열화</t>
        </is>
      </c>
      <c r="G795" s="24" t="inlineStr">
        <is>
          <t>콘크리트 구조물에 작용하는 하중에 의한 균열의 종류와 발생원인 및 방지대책에 대하여 설명하시오.</t>
        </is>
      </c>
    </row>
    <row r="796" customFormat="1" s="1">
      <c r="A796" s="6" t="n">
        <v>392</v>
      </c>
      <c r="B796" s="145" t="n">
        <v>113</v>
      </c>
      <c r="C796" s="146" t="n">
        <v>3</v>
      </c>
      <c r="D796" s="7" t="n">
        <v>1</v>
      </c>
      <c r="E796" s="6" t="inlineStr">
        <is>
          <t>재해유형</t>
        </is>
      </c>
      <c r="F796" s="8" t="inlineStr">
        <is>
          <t>밀폐공간</t>
        </is>
      </c>
      <c r="G796" s="24" t="inlineStr">
        <is>
          <t>건설현장에서 밀폐공간작업 시 중독·질식사고 예방을 위한 주요내용을 설명하시오.</t>
        </is>
      </c>
    </row>
    <row r="797" customFormat="1" s="1">
      <c r="A797" s="6" t="n">
        <v>393</v>
      </c>
      <c r="B797" s="145" t="n">
        <v>113</v>
      </c>
      <c r="C797" s="146" t="n">
        <v>3</v>
      </c>
      <c r="D797" s="7" t="n">
        <v>2</v>
      </c>
      <c r="E797" s="6" t="inlineStr">
        <is>
          <t>건진법</t>
        </is>
      </c>
      <c r="F797" s="8" t="inlineStr">
        <is>
          <t>스마트 안전장비</t>
        </is>
      </c>
      <c r="G797" s="24" t="inlineStr">
        <is>
          <t>사물인터넷을 활용한 건설현장 안전관리 방안을 설명하시오.</t>
        </is>
      </c>
    </row>
    <row r="798" ht="33" customFormat="1" customHeight="1" s="1">
      <c r="A798" s="6" t="n">
        <v>394</v>
      </c>
      <c r="B798" s="145" t="n">
        <v>113</v>
      </c>
      <c r="C798" s="146" t="n">
        <v>3</v>
      </c>
      <c r="D798" s="7" t="n">
        <v>3</v>
      </c>
      <c r="E798" s="6" t="inlineStr">
        <is>
          <t>토공</t>
        </is>
      </c>
      <c r="F798" s="8" t="inlineStr">
        <is>
          <t>발파 암질판별</t>
        </is>
      </c>
      <c r="G798" s="24" t="inlineStr">
        <is>
          <t>건설현장에서 발파를 이용하여 암사면 절취 시 사전점검 항목과 암질판별 기준 및 안전대책에 대하여 설명하시오.</t>
        </is>
      </c>
    </row>
    <row r="799" customFormat="1" s="1">
      <c r="A799" s="6" t="n">
        <v>395</v>
      </c>
      <c r="B799" s="145" t="n">
        <v>113</v>
      </c>
      <c r="C799" s="146" t="n">
        <v>3</v>
      </c>
      <c r="D799" s="7" t="n">
        <v>4</v>
      </c>
      <c r="E799" s="6" t="inlineStr">
        <is>
          <t>콘크리트</t>
        </is>
      </c>
      <c r="F799" s="8" t="inlineStr">
        <is>
          <t>거푸집 동바리</t>
        </is>
      </c>
      <c r="G799" s="24" t="inlineStr">
        <is>
          <t>철근콘크리트공사에서 거푸집 및 동바리 설계 시 고려하중과 설치기준에 대하여 설명하시오.</t>
        </is>
      </c>
    </row>
    <row r="800" customFormat="1" s="1">
      <c r="A800" s="6" t="n">
        <v>396</v>
      </c>
      <c r="B800" s="145" t="n">
        <v>113</v>
      </c>
      <c r="C800" s="146" t="n">
        <v>3</v>
      </c>
      <c r="D800" s="7" t="n">
        <v>5</v>
      </c>
      <c r="E800" s="6" t="inlineStr">
        <is>
          <t>건설기계</t>
        </is>
      </c>
      <c r="F800" s="8" t="inlineStr">
        <is>
          <t>리프트</t>
        </is>
      </c>
      <c r="G800" s="24" t="inlineStr">
        <is>
          <t>건설작업용 리프트의 사고유형과 안전대책 및 방호장치에 대하여 설명하시오.</t>
        </is>
      </c>
    </row>
    <row r="801" customFormat="1" s="1">
      <c r="A801" s="6" t="n">
        <v>397</v>
      </c>
      <c r="B801" s="145" t="n">
        <v>113</v>
      </c>
      <c r="C801" s="146" t="n">
        <v>3</v>
      </c>
      <c r="D801" s="7" t="n">
        <v>6</v>
      </c>
      <c r="E801" s="6" t="inlineStr">
        <is>
          <t>건축</t>
        </is>
      </c>
      <c r="F801" s="8" t="inlineStr">
        <is>
          <t>외벽 방습층 설치</t>
        </is>
      </c>
      <c r="G801" s="24" t="inlineStr">
        <is>
          <t>건축물 외벽에서의 방습층 설치 목적과 시공 시 안전대책에 대하여 설명하시오.</t>
        </is>
      </c>
    </row>
    <row r="802" customFormat="1" s="1">
      <c r="A802" s="6" t="n">
        <v>398</v>
      </c>
      <c r="B802" s="145" t="n">
        <v>113</v>
      </c>
      <c r="C802" s="146" t="n">
        <v>4</v>
      </c>
      <c r="D802" s="7" t="n">
        <v>1</v>
      </c>
      <c r="E802" s="6" t="inlineStr">
        <is>
          <t>콘크리트</t>
        </is>
      </c>
      <c r="F802" s="8" t="inlineStr">
        <is>
          <t>철근도괴사고</t>
        </is>
      </c>
      <c r="G802" s="24" t="inlineStr">
        <is>
          <t>철근도괴사고의 유형과 발생원인 및 예방대책에 대하여 설명하시오.</t>
        </is>
      </c>
    </row>
    <row r="803" ht="33" customFormat="1" customHeight="1" s="1">
      <c r="A803" s="6" t="n">
        <v>399</v>
      </c>
      <c r="B803" s="145" t="n">
        <v>113</v>
      </c>
      <c r="C803" s="146" t="n">
        <v>4</v>
      </c>
      <c r="D803" s="7" t="n">
        <v>2</v>
      </c>
      <c r="E803" s="6" t="inlineStr">
        <is>
          <t>건축</t>
        </is>
      </c>
      <c r="F803" s="8" t="inlineStr">
        <is>
          <t>기둥축소현상</t>
        </is>
      </c>
      <c r="G803" s="24" t="inlineStr">
        <is>
          <t>초고층 건축공사 현장에서 기둥축소(Column Shortening) 현상의 발생원인과 문제점 및 예방대책에 대하여 설명하시오.</t>
        </is>
      </c>
    </row>
    <row r="804" customFormat="1" s="1">
      <c r="A804" s="6" t="n">
        <v>400</v>
      </c>
      <c r="B804" s="145" t="n">
        <v>113</v>
      </c>
      <c r="C804" s="146" t="n">
        <v>4</v>
      </c>
      <c r="D804" s="7" t="n">
        <v>3</v>
      </c>
      <c r="E804" s="6" t="inlineStr">
        <is>
          <t>산안법</t>
        </is>
      </c>
      <c r="F804" s="8" t="inlineStr">
        <is>
          <t>석면조사</t>
        </is>
      </c>
      <c r="G804" s="24" t="inlineStr">
        <is>
          <t>건축물 철거·해체 시 석면조사기관의 조사대상과 석면제거 작업 시 준수사항에 대하여 설명하시오.</t>
        </is>
      </c>
    </row>
    <row r="805" customFormat="1" s="1">
      <c r="A805" s="6" t="n">
        <v>401</v>
      </c>
      <c r="B805" s="145" t="n">
        <v>113</v>
      </c>
      <c r="C805" s="146" t="n">
        <v>4</v>
      </c>
      <c r="D805" s="7" t="n">
        <v>4</v>
      </c>
      <c r="E805" s="6" t="inlineStr">
        <is>
          <t>콘크리트</t>
        </is>
      </c>
      <c r="F805" s="8" t="inlineStr">
        <is>
          <t>균열과 열화</t>
        </is>
      </c>
      <c r="G805" s="24" t="inlineStr">
        <is>
          <t>매스콘크리트에서 온도균열 제어방법과 시공 시 유의사항에 대하여 설명하시오.</t>
        </is>
      </c>
    </row>
    <row r="806" ht="33" customFormat="1" customHeight="1" s="1">
      <c r="A806" s="6" t="n">
        <v>402</v>
      </c>
      <c r="B806" s="145" t="n">
        <v>113</v>
      </c>
      <c r="C806" s="146" t="n">
        <v>4</v>
      </c>
      <c r="D806" s="7" t="n">
        <v>5</v>
      </c>
      <c r="E806" s="6" t="inlineStr">
        <is>
          <t>안전관리론</t>
        </is>
      </c>
      <c r="F806" s="8" t="inlineStr">
        <is>
          <t>고령 외국인근로자</t>
        </is>
      </c>
      <c r="G806" s="24" t="inlineStr">
        <is>
          <t>건설현장에서 고령근로자 및 외국인 근로자가 증가함으로 인하여 발생되는 문제점과 재해예방 대책에 대하여 설명하시오.</t>
        </is>
      </c>
    </row>
    <row r="807" customFormat="1" s="1">
      <c r="A807" s="6" t="n">
        <v>403</v>
      </c>
      <c r="B807" s="145" t="n">
        <v>113</v>
      </c>
      <c r="C807" s="146" t="n">
        <v>4</v>
      </c>
      <c r="D807" s="7" t="n">
        <v>6</v>
      </c>
      <c r="E807" s="6" t="inlineStr">
        <is>
          <t>터널</t>
        </is>
      </c>
      <c r="F807" s="8" t="inlineStr">
        <is>
          <t>작업환경 유해가스 분진 환기</t>
        </is>
      </c>
      <c r="G807" s="24" t="inlineStr">
        <is>
          <t>터널공사에서 발생하는 유해가스와 분진 등을 고려한 환기계획 및 환기방식의 종류에 대하여 설명하시오.</t>
        </is>
      </c>
    </row>
    <row r="808" customFormat="1" s="1">
      <c r="A808" s="6" t="n">
        <v>404</v>
      </c>
      <c r="B808" s="145" t="n">
        <v>112</v>
      </c>
      <c r="C808" s="146" t="n">
        <v>1</v>
      </c>
      <c r="D808" s="7" t="n">
        <v>1</v>
      </c>
      <c r="E808" s="6" t="inlineStr">
        <is>
          <t>산안법</t>
        </is>
      </c>
      <c r="F808" s="8" t="inlineStr">
        <is>
          <t>사전조사 및 작업계획서</t>
        </is>
      </c>
      <c r="G808" s="24" t="inlineStr">
        <is>
          <t>사전조사 및 작업계획서 작성 대상작업(산업안전보건기준에 관한 규칙 제38조)</t>
        </is>
      </c>
    </row>
    <row r="809" ht="33" customFormat="1" customHeight="1" s="1">
      <c r="A809" s="6" t="n">
        <v>405</v>
      </c>
      <c r="B809" s="145" t="n">
        <v>112</v>
      </c>
      <c r="C809" s="146" t="n">
        <v>1</v>
      </c>
      <c r="D809" s="7" t="n">
        <v>2</v>
      </c>
      <c r="E809" s="6" t="inlineStr">
        <is>
          <t>시설물안전법</t>
        </is>
      </c>
      <c r="F809" s="8" t="inlineStr">
        <is>
          <t>정밀안전진단</t>
        </is>
      </c>
      <c r="G809" s="24" t="inlineStr">
        <is>
          <t>시설물의 안전관리에 관한 특별법의 정밀점검 및 정밀안전진단 보고서 상 사전검토사항 (사전검토보고서)에 포함되어야 할 내용(정밀안전진단 중심으로)</t>
        </is>
      </c>
    </row>
    <row r="810" customFormat="1" s="1">
      <c r="A810" s="6" t="n">
        <v>406</v>
      </c>
      <c r="B810" s="145" t="n">
        <v>112</v>
      </c>
      <c r="C810" s="146" t="n">
        <v>1</v>
      </c>
      <c r="D810" s="7" t="n">
        <v>3</v>
      </c>
      <c r="E810" s="6" t="inlineStr">
        <is>
          <t>콘크리트</t>
        </is>
      </c>
      <c r="F810" s="8" t="inlineStr">
        <is>
          <t>서중콘크리트</t>
        </is>
      </c>
      <c r="G810" s="24" t="inlineStr">
        <is>
          <t>서중콘크리트</t>
        </is>
      </c>
    </row>
    <row r="811" customFormat="1" s="1">
      <c r="A811" s="6" t="n">
        <v>407</v>
      </c>
      <c r="B811" s="145" t="n">
        <v>112</v>
      </c>
      <c r="C811" s="146" t="n">
        <v>1</v>
      </c>
      <c r="D811" s="7" t="n">
        <v>4</v>
      </c>
      <c r="E811" s="6" t="inlineStr">
        <is>
          <t>산안법</t>
        </is>
      </c>
      <c r="F811" s="8" t="inlineStr">
        <is>
          <t>정기안전보건교육</t>
        </is>
      </c>
      <c r="G811" s="24" t="inlineStr">
        <is>
          <t>사업장내 근로자 정기안전·보건교육 내용</t>
        </is>
      </c>
    </row>
    <row r="812" customFormat="1" s="1">
      <c r="A812" s="6" t="n">
        <v>408</v>
      </c>
      <c r="B812" s="145" t="n">
        <v>112</v>
      </c>
      <c r="C812" s="146" t="n">
        <v>1</v>
      </c>
      <c r="D812" s="7" t="n">
        <v>5</v>
      </c>
      <c r="E812" s="6" t="inlineStr">
        <is>
          <t>산안법</t>
        </is>
      </c>
      <c r="F812" s="8" t="inlineStr">
        <is>
          <t>화재감시자</t>
        </is>
      </c>
      <c r="G812" s="24" t="inlineStr">
        <is>
          <t>화재감시자 배치대상(산업안전보건기준에 관한 규칙 제241조의2)</t>
        </is>
      </c>
    </row>
    <row r="813" ht="33" customFormat="1" customHeight="1" s="1">
      <c r="A813" s="6" t="n">
        <v>409</v>
      </c>
      <c r="B813" s="145" t="n">
        <v>112</v>
      </c>
      <c r="C813" s="146" t="n">
        <v>1</v>
      </c>
      <c r="D813" s="7" t="n">
        <v>6</v>
      </c>
      <c r="E813" s="6" t="inlineStr">
        <is>
          <t>산안법</t>
        </is>
      </c>
      <c r="F813" s="8" t="inlineStr">
        <is>
          <t>GHS</t>
        </is>
      </c>
      <c r="G813" s="24" t="inlineStr">
        <is>
          <t>GHS(Global Harmonized System of Classification and labelling of chemicals)경고 표지에 기재되어야 할 항목</t>
        </is>
      </c>
    </row>
    <row r="814" customFormat="1" s="1">
      <c r="A814" s="6" t="n">
        <v>410</v>
      </c>
      <c r="B814" s="145" t="n">
        <v>112</v>
      </c>
      <c r="C814" s="146" t="n">
        <v>1</v>
      </c>
      <c r="D814" s="7" t="n">
        <v>7</v>
      </c>
      <c r="E814" s="6" t="inlineStr">
        <is>
          <t>토공</t>
        </is>
      </c>
      <c r="F814" s="8" t="inlineStr">
        <is>
          <t>사면안정</t>
        </is>
      </c>
      <c r="G814" s="24" t="inlineStr">
        <is>
          <t>사면붕괴의 원인과 사면의 안정을 지배하는 요인</t>
        </is>
      </c>
    </row>
    <row r="815" customFormat="1" s="1">
      <c r="A815" s="6" t="n">
        <v>411</v>
      </c>
      <c r="B815" s="145" t="n">
        <v>112</v>
      </c>
      <c r="C815" s="146" t="n">
        <v>1</v>
      </c>
      <c r="D815" s="7" t="n">
        <v>8</v>
      </c>
      <c r="E815" s="6" t="inlineStr">
        <is>
          <t>지진</t>
        </is>
      </c>
      <c r="F815" s="8" t="inlineStr">
        <is>
          <t>내진성능평가</t>
        </is>
      </c>
      <c r="G815" s="24" t="inlineStr">
        <is>
          <t>건축물의 내진성능평가의 절차 및 성능수준</t>
        </is>
      </c>
    </row>
    <row r="816" customFormat="1" s="1">
      <c r="A816" s="6" t="n">
        <v>412</v>
      </c>
      <c r="B816" s="145" t="n">
        <v>112</v>
      </c>
      <c r="C816" s="146" t="n">
        <v>1</v>
      </c>
      <c r="D816" s="7" t="n">
        <v>9</v>
      </c>
      <c r="E816" s="6" t="inlineStr">
        <is>
          <t>토공</t>
        </is>
      </c>
      <c r="F816" s="8" t="inlineStr">
        <is>
          <t>흙의 보일링</t>
        </is>
      </c>
      <c r="G816" s="24" t="inlineStr">
        <is>
          <t>흙의 보일링(boiling) 현상 및 피해</t>
        </is>
      </c>
    </row>
    <row r="817" customFormat="1" s="1">
      <c r="A817" s="6" t="n">
        <v>413</v>
      </c>
      <c r="B817" s="145" t="n">
        <v>112</v>
      </c>
      <c r="C817" s="146" t="n">
        <v>1</v>
      </c>
      <c r="D817" s="7" t="n">
        <v>10</v>
      </c>
      <c r="E817" s="6" t="inlineStr">
        <is>
          <t>콘크리트</t>
        </is>
      </c>
      <c r="F817" s="8" t="inlineStr">
        <is>
          <t>휨강성(EI)</t>
        </is>
      </c>
      <c r="G817" s="24" t="inlineStr">
        <is>
          <t>휨강성(EI)</t>
        </is>
      </c>
    </row>
    <row r="818" customFormat="1" s="1">
      <c r="A818" s="6" t="n">
        <v>414</v>
      </c>
      <c r="B818" s="145" t="n">
        <v>112</v>
      </c>
      <c r="C818" s="146" t="n">
        <v>1</v>
      </c>
      <c r="D818" s="7" t="n">
        <v>11</v>
      </c>
      <c r="E818" s="6" t="inlineStr">
        <is>
          <t>산안법</t>
        </is>
      </c>
      <c r="F818" s="8" t="inlineStr">
        <is>
          <t>와이어로프</t>
        </is>
      </c>
      <c r="G818" s="24" t="inlineStr">
        <is>
          <t>부적격한 와이어로프의 사용금지 조건(Wire rope의 폐기 기준)</t>
        </is>
      </c>
    </row>
    <row r="819" customFormat="1" s="1">
      <c r="A819" s="6" t="n">
        <v>415</v>
      </c>
      <c r="B819" s="145" t="n">
        <v>112</v>
      </c>
      <c r="C819" s="146" t="n">
        <v>1</v>
      </c>
      <c r="D819" s="7" t="n">
        <v>12</v>
      </c>
      <c r="E819" s="6" t="inlineStr">
        <is>
          <t>강재</t>
        </is>
      </c>
      <c r="F819" s="8" t="inlineStr">
        <is>
          <t>PS강재의 응력부식 지연파괴</t>
        </is>
      </c>
      <c r="G819" s="24" t="inlineStr">
        <is>
          <t>PS강재의 응력부식과 지연파괴</t>
        </is>
      </c>
    </row>
    <row r="820" customFormat="1" s="1">
      <c r="A820" s="6" t="n">
        <v>416</v>
      </c>
      <c r="B820" s="145" t="n">
        <v>112</v>
      </c>
      <c r="C820" s="146" t="n">
        <v>1</v>
      </c>
      <c r="D820" s="7" t="n">
        <v>13</v>
      </c>
      <c r="E820" s="6" t="inlineStr">
        <is>
          <t>지진</t>
        </is>
      </c>
      <c r="F820" s="8" t="inlineStr">
        <is>
          <t>진원 및 진앙</t>
        </is>
      </c>
      <c r="G820" s="24" t="inlineStr">
        <is>
          <t>지진발생의 원인과 진원 및 진앙, 지진규모</t>
        </is>
      </c>
    </row>
    <row r="821" ht="33" customFormat="1" customHeight="1" s="1">
      <c r="A821" s="6" t="n">
        <v>417</v>
      </c>
      <c r="B821" s="145" t="n">
        <v>112</v>
      </c>
      <c r="C821" s="146" t="n">
        <v>2</v>
      </c>
      <c r="D821" s="7" t="n">
        <v>1</v>
      </c>
      <c r="E821" s="6" t="inlineStr">
        <is>
          <t>산안법</t>
        </is>
      </c>
      <c r="F821" s="8" t="inlineStr">
        <is>
          <t>안전인증 보호구 안전대</t>
        </is>
      </c>
      <c r="G821" s="24" t="inlineStr">
        <is>
          <t>건설현장에서 사용되는 안전보호구 종류를 나열하고 그 중 안전대의 종류와 사용 및 폐기기준에 대하여 설명하시오.</t>
        </is>
      </c>
    </row>
    <row r="822" ht="33" customFormat="1" customHeight="1" s="1">
      <c r="A822" s="6" t="n">
        <v>418</v>
      </c>
      <c r="B822" s="145" t="n">
        <v>112</v>
      </c>
      <c r="C822" s="146" t="n">
        <v>2</v>
      </c>
      <c r="D822" s="7" t="n">
        <v>2</v>
      </c>
      <c r="E822" s="6" t="inlineStr">
        <is>
          <t>산안법</t>
        </is>
      </c>
      <c r="F822" s="8" t="inlineStr">
        <is>
          <t>유해위험방지계획서</t>
        </is>
      </c>
      <c r="G822" s="24" t="inlineStr">
        <is>
          <t>건설업 유해위험방지계획서 작성대상 및 포함사항과 최근 제정된 작성지침의 주요 내용에 대하여 설명하시오.</t>
        </is>
      </c>
    </row>
    <row r="823" ht="33" customFormat="1" customHeight="1" s="1">
      <c r="A823" s="6" t="n">
        <v>419</v>
      </c>
      <c r="B823" s="145" t="n">
        <v>112</v>
      </c>
      <c r="C823" s="146" t="n">
        <v>2</v>
      </c>
      <c r="D823" s="7" t="n">
        <v>3</v>
      </c>
      <c r="E823" s="6" t="inlineStr">
        <is>
          <t>기초</t>
        </is>
      </c>
      <c r="F823" s="8" t="inlineStr">
        <is>
          <t>토류벽</t>
        </is>
      </c>
      <c r="G823" s="24" t="inlineStr">
        <is>
          <t>토류벽의 안전성 확보를 위한 토류벽 지지공법의 종류와 각 공법별 안전성 확보를 위한 주의사항에 대하여 설명하시오.</t>
        </is>
      </c>
    </row>
    <row r="824" ht="33" customFormat="1" customHeight="1" s="1">
      <c r="A824" s="6" t="n">
        <v>420</v>
      </c>
      <c r="B824" s="145" t="n">
        <v>112</v>
      </c>
      <c r="C824" s="146" t="n">
        <v>2</v>
      </c>
      <c r="D824" s="7" t="n">
        <v>4</v>
      </c>
      <c r="E824" s="6" t="inlineStr">
        <is>
          <t>시설물안전법</t>
        </is>
      </c>
      <c r="F824" s="8" t="inlineStr">
        <is>
          <t>시설물의 안전 및 
유지관리 기본계획</t>
        </is>
      </c>
      <c r="G824" s="24" t="inlineStr">
        <is>
          <t>준공된 지 3개월이 경과된 철근콘크리트 건축물(지하3층, 지상22층)에 향후 발생될 수 있는 열화현상을 설명하고 시설물을 효과적으로 관리하기 위한 시설물의 안전 및 유지관리 기본계획에 대하여 설명하시오.</t>
        </is>
      </c>
    </row>
    <row r="825" customFormat="1" s="1">
      <c r="A825" s="6" t="n">
        <v>421</v>
      </c>
      <c r="B825" s="145" t="n">
        <v>112</v>
      </c>
      <c r="C825" s="146" t="n">
        <v>2</v>
      </c>
      <c r="D825" s="7" t="n">
        <v>5</v>
      </c>
      <c r="E825" s="6" t="inlineStr">
        <is>
          <t>터널</t>
        </is>
      </c>
      <c r="F825" s="8" t="inlineStr">
        <is>
          <t>NATM 계측</t>
        </is>
      </c>
      <c r="G825" s="24" t="inlineStr">
        <is>
          <t>NATM 터널의 안전성 확보를 위해 시행하는 시공 중 계측항목(내용) 및 계측시스템에 대하여 설명하시오.</t>
        </is>
      </c>
    </row>
    <row r="826" customFormat="1" s="1">
      <c r="A826" s="6" t="n">
        <v>422</v>
      </c>
      <c r="B826" s="145" t="n">
        <v>112</v>
      </c>
      <c r="C826" s="146" t="n">
        <v>2</v>
      </c>
      <c r="D826" s="7" t="n">
        <v>6</v>
      </c>
      <c r="E826" s="6" t="inlineStr">
        <is>
          <t>기초</t>
        </is>
      </c>
      <c r="F826" s="8" t="inlineStr">
        <is>
          <t>부력 양압력 부상</t>
        </is>
      </c>
      <c r="G826" s="24" t="inlineStr">
        <is>
          <t>콘크리트 타설시 부상현상(浮上現象)의 정의와 방지대책에 대하여 설명하시오.</t>
        </is>
      </c>
    </row>
    <row r="827" customFormat="1" s="1">
      <c r="A827" s="6" t="n">
        <v>423</v>
      </c>
      <c r="B827" s="145" t="n">
        <v>112</v>
      </c>
      <c r="C827" s="146" t="n">
        <v>3</v>
      </c>
      <c r="D827" s="7" t="n">
        <v>1</v>
      </c>
      <c r="E827" s="6" t="inlineStr">
        <is>
          <t>산안법</t>
        </is>
      </c>
      <c r="F827" s="8" t="inlineStr">
        <is>
          <t>중대재해</t>
        </is>
      </c>
      <c r="G827" s="24" t="inlineStr">
        <is>
          <t>중대재해의 정의와 발생 시 보고사항 및 조치순서에 대하여 설명하시오.</t>
        </is>
      </c>
    </row>
    <row r="828" customFormat="1" s="1">
      <c r="A828" s="6" t="n">
        <v>424</v>
      </c>
      <c r="B828" s="145" t="n">
        <v>112</v>
      </c>
      <c r="C828" s="146" t="n">
        <v>3</v>
      </c>
      <c r="D828" s="7" t="n">
        <v>2</v>
      </c>
      <c r="E828" s="6" t="inlineStr">
        <is>
          <t>콘크리트</t>
        </is>
      </c>
      <c r="F828" s="8" t="inlineStr">
        <is>
          <t>거푸집_데크플레이트</t>
        </is>
      </c>
      <c r="G828" s="24" t="inlineStr">
        <is>
          <t>철골공사 중 무지보 데크플레이트 공법의 시공순서 및 재해발생 유형과 안전대책에 대하여 설명하시오.</t>
        </is>
      </c>
    </row>
    <row r="829" customFormat="1" s="1">
      <c r="A829" s="6" t="n">
        <v>425</v>
      </c>
      <c r="B829" s="145" t="n">
        <v>112</v>
      </c>
      <c r="C829" s="146" t="n">
        <v>3</v>
      </c>
      <c r="D829" s="7" t="n">
        <v>3</v>
      </c>
      <c r="E829" s="6" t="inlineStr">
        <is>
          <t>시설물안전법</t>
        </is>
      </c>
      <c r="F829" s="8" t="inlineStr">
        <is>
          <t>안전점검 정밀안전진단</t>
        </is>
      </c>
      <c r="G829" s="24" t="inlineStr">
        <is>
          <t>콘크리트 교량의 안전성 확보를 위한 안전점검의 종류와 정밀안전진단의 절차에 대하여 설명하시오.</t>
        </is>
      </c>
    </row>
    <row r="830" customFormat="1" s="1">
      <c r="A830" s="6" t="n">
        <v>426</v>
      </c>
      <c r="B830" s="145" t="n">
        <v>112</v>
      </c>
      <c r="C830" s="146" t="n">
        <v>3</v>
      </c>
      <c r="D830" s="7" t="n">
        <v>4</v>
      </c>
      <c r="E830" s="6" t="inlineStr">
        <is>
          <t>산안법</t>
        </is>
      </c>
      <c r="F830" s="8" t="inlineStr">
        <is>
          <t>안전보건진단</t>
        </is>
      </c>
      <c r="G830" s="24" t="inlineStr">
        <is>
          <t>산업안전보건법 상 안전보건진단의 종류 및 진단보고서에 포함하여야 할 내용에 대하여 설명하시오.</t>
        </is>
      </c>
    </row>
    <row r="831" ht="33" customFormat="1" customHeight="1" s="1">
      <c r="A831" s="6" t="n">
        <v>427</v>
      </c>
      <c r="B831" s="145" t="n">
        <v>112</v>
      </c>
      <c r="C831" s="146" t="n">
        <v>3</v>
      </c>
      <c r="D831" s="7" t="n">
        <v>5</v>
      </c>
      <c r="E831" s="6" t="inlineStr">
        <is>
          <t>건진법</t>
        </is>
      </c>
      <c r="F831" s="8" t="inlineStr">
        <is>
          <t>안전관리계획서</t>
        </is>
      </c>
      <c r="G831" s="24" t="inlineStr">
        <is>
          <t>연면적 50,000m2(지하2층, 지상16층) 건축물을 시공하려고 한다. 건설기술진흥법을 토대로 안전관리계획서 작성항목과 심사기준에 대하여 설명하시오.</t>
        </is>
      </c>
    </row>
    <row r="832" customFormat="1" s="1">
      <c r="A832" s="6" t="n">
        <v>428</v>
      </c>
      <c r="B832" s="145" t="n">
        <v>112</v>
      </c>
      <c r="C832" s="146" t="n">
        <v>3</v>
      </c>
      <c r="D832" s="7" t="n">
        <v>6</v>
      </c>
      <c r="E832" s="6" t="inlineStr">
        <is>
          <t>해체공사</t>
        </is>
      </c>
      <c r="F832" s="8" t="inlineStr">
        <is>
          <t>해체공법 건설공해 방지</t>
        </is>
      </c>
      <c r="G832" s="24" t="inlineStr">
        <is>
          <t>해체공사 시 사전조사 항목과 해체공법의 종류 및 건설공해 방지대책에 대하여 설명하시오.</t>
        </is>
      </c>
    </row>
    <row r="833" ht="33" customFormat="1" customHeight="1" s="1">
      <c r="A833" s="6" t="n">
        <v>429</v>
      </c>
      <c r="B833" s="145" t="n">
        <v>112</v>
      </c>
      <c r="C833" s="146" t="n">
        <v>4</v>
      </c>
      <c r="D833" s="7" t="n">
        <v>1</v>
      </c>
      <c r="E833" s="6" t="inlineStr">
        <is>
          <t>산안법</t>
        </is>
      </c>
      <c r="F833" s="8" t="inlineStr">
        <is>
          <t>KOSHA18001</t>
        </is>
      </c>
      <c r="G833" s="24" t="inlineStr">
        <is>
          <t>건설업 안전보건경영시스템(KOSHA 18001)의 정의 및 종합건설업체 현장분야 인증 항목에 대하여 설명하시오.</t>
        </is>
      </c>
    </row>
    <row r="834" customFormat="1" s="1">
      <c r="A834" s="6" t="n">
        <v>430</v>
      </c>
      <c r="B834" s="145" t="n">
        <v>112</v>
      </c>
      <c r="C834" s="146" t="n">
        <v>4</v>
      </c>
      <c r="D834" s="7" t="n">
        <v>2</v>
      </c>
      <c r="E834" s="6" t="inlineStr">
        <is>
          <t>안전관리론</t>
        </is>
      </c>
      <c r="F834" s="8" t="inlineStr">
        <is>
          <t>안전관리이론_하인리히 버드</t>
        </is>
      </c>
      <c r="G834" s="24" t="inlineStr">
        <is>
          <t>하인리히와 버드의 연쇄성(Domino)에 대한 재해 구성비율과 이론을 비교하여 설명하시오.</t>
        </is>
      </c>
    </row>
    <row r="835" ht="33" customFormat="1" customHeight="1" s="1">
      <c r="A835" s="6" t="n">
        <v>431</v>
      </c>
      <c r="B835" s="145" t="n">
        <v>112</v>
      </c>
      <c r="C835" s="146" t="n">
        <v>4</v>
      </c>
      <c r="D835" s="7" t="n">
        <v>3</v>
      </c>
      <c r="E835" s="6" t="inlineStr">
        <is>
          <t>안전관리론</t>
        </is>
      </c>
      <c r="F835" s="8" t="inlineStr">
        <is>
          <t>근로자안전의식증진</t>
        </is>
      </c>
      <c r="G835" s="24" t="inlineStr">
        <is>
          <t>건설현장 근로자의 안전제일 가치관을 정착시키기 위한 전개방안과 현장에서 근로자의 안전의식 증진방안에 대하여 설명하시오.</t>
        </is>
      </c>
    </row>
    <row r="836" customFormat="1" s="1">
      <c r="A836" s="6" t="n">
        <v>432</v>
      </c>
      <c r="B836" s="145" t="n">
        <v>112</v>
      </c>
      <c r="C836" s="146" t="n">
        <v>4</v>
      </c>
      <c r="D836" s="7" t="n">
        <v>4</v>
      </c>
      <c r="E836" s="6" t="inlineStr">
        <is>
          <t>시설물안전법</t>
        </is>
      </c>
      <c r="F836" s="8" t="inlineStr">
        <is>
          <t>보수 보강 공법</t>
        </is>
      </c>
      <c r="G836" s="24" t="inlineStr">
        <is>
          <t>철근콘크리트 교량 구조물에 발생된 변형에 대한 보수·보강기법에 대하여 설명하시오.</t>
        </is>
      </c>
    </row>
    <row r="837" ht="49.5" customFormat="1" customHeight="1" s="1">
      <c r="A837" s="6" t="n">
        <v>433</v>
      </c>
      <c r="B837" s="145" t="n">
        <v>112</v>
      </c>
      <c r="C837" s="146" t="n">
        <v>4</v>
      </c>
      <c r="D837" s="7" t="n">
        <v>5</v>
      </c>
      <c r="E837" s="6" t="inlineStr">
        <is>
          <t>시설물안전법</t>
        </is>
      </c>
      <c r="F837" s="8" t="inlineStr">
        <is>
          <t>중대한 결함</t>
        </is>
      </c>
      <c r="G837" s="24" t="inlineStr">
        <is>
          <t>시설물의 안전관리에 관한 특별법상 지하4층, 지상30층, 연면적 200,000m2 이상 되는 건축물에 적용되는 점검 및 진단을 설명하고, 점검·진단 시 대통령령으로 정하는 중대 결함사항과 결함사항을 통보받은 관리주체의 조치사항에 대하여 설명하시오.</t>
        </is>
      </c>
    </row>
    <row r="838" ht="33" customFormat="1" customHeight="1" s="1">
      <c r="A838" s="6" t="n">
        <v>434</v>
      </c>
      <c r="B838" s="145" t="n">
        <v>112</v>
      </c>
      <c r="C838" s="146" t="n">
        <v>4</v>
      </c>
      <c r="D838" s="7" t="n">
        <v>6</v>
      </c>
      <c r="E838" s="6" t="inlineStr">
        <is>
          <t>토공</t>
        </is>
      </c>
      <c r="F838" s="8" t="inlineStr">
        <is>
          <t>발파 진동</t>
        </is>
      </c>
      <c r="G838" s="24" t="inlineStr">
        <is>
          <t>건설공사 시 발파진동에 의한 인근 구조물의 피해가 발생하는 바, 발파진동에 심각하게 영향을 미치는 요인과 발파진동 저감방안에 대하여 설명하시오.</t>
        </is>
      </c>
    </row>
    <row r="839" customFormat="1" s="1">
      <c r="A839" s="6" t="n">
        <v>435</v>
      </c>
      <c r="B839" s="145" t="n">
        <v>111</v>
      </c>
      <c r="C839" s="146" t="n">
        <v>1</v>
      </c>
      <c r="D839" s="7" t="n">
        <v>1</v>
      </c>
      <c r="E839" s="6" t="inlineStr">
        <is>
          <t>산안법</t>
        </is>
      </c>
      <c r="F839" s="8" t="inlineStr">
        <is>
          <t>공사기간 연장요청</t>
        </is>
      </c>
      <c r="G839" s="24" t="inlineStr">
        <is>
          <t>산업안전보건법상 공사기간 연장요청</t>
        </is>
      </c>
    </row>
    <row r="840" customFormat="1" s="1">
      <c r="A840" s="6" t="n">
        <v>436</v>
      </c>
      <c r="B840" s="145" t="n">
        <v>111</v>
      </c>
      <c r="C840" s="146" t="n">
        <v>1</v>
      </c>
      <c r="D840" s="7" t="n">
        <v>2</v>
      </c>
      <c r="E840" s="6" t="inlineStr">
        <is>
          <t>건진법</t>
        </is>
      </c>
      <c r="F840" s="8" t="inlineStr">
        <is>
          <t>건설기준 통합코드</t>
        </is>
      </c>
      <c r="G840" s="24" t="inlineStr">
        <is>
          <t>건설기술진흥법상 건설기준 통합코드</t>
        </is>
      </c>
    </row>
    <row r="841" customFormat="1" s="1">
      <c r="A841" s="6" t="n">
        <v>437</v>
      </c>
      <c r="B841" s="145" t="n">
        <v>111</v>
      </c>
      <c r="C841" s="146" t="n">
        <v>1</v>
      </c>
      <c r="D841" s="7" t="n">
        <v>3</v>
      </c>
      <c r="E841" s="6" t="inlineStr">
        <is>
          <t>토공</t>
        </is>
      </c>
      <c r="F841" s="8" t="inlineStr">
        <is>
          <t>최적 함수비</t>
        </is>
      </c>
      <c r="G841" s="24" t="inlineStr">
        <is>
          <t>최적 함수비(Optimum Moisture Content)</t>
        </is>
      </c>
    </row>
    <row r="842" customFormat="1" s="1">
      <c r="A842" s="6" t="n">
        <v>438</v>
      </c>
      <c r="B842" s="145" t="n">
        <v>111</v>
      </c>
      <c r="C842" s="146" t="n">
        <v>1</v>
      </c>
      <c r="D842" s="7" t="n">
        <v>4</v>
      </c>
      <c r="E842" s="6" t="inlineStr">
        <is>
          <t>강재</t>
        </is>
      </c>
      <c r="F842" s="8" t="inlineStr">
        <is>
          <t>아크용접</t>
        </is>
      </c>
      <c r="G842" s="24" t="inlineStr">
        <is>
          <t>철골의 CO2 아크(Arc)용접</t>
        </is>
      </c>
    </row>
    <row r="843" customFormat="1" s="1">
      <c r="A843" s="6" t="n">
        <v>439</v>
      </c>
      <c r="B843" s="145" t="n">
        <v>111</v>
      </c>
      <c r="C843" s="146" t="n">
        <v>1</v>
      </c>
      <c r="D843" s="7" t="n">
        <v>5</v>
      </c>
      <c r="E843" s="6" t="inlineStr">
        <is>
          <t>건설기계</t>
        </is>
      </c>
      <c r="F843" s="8" t="inlineStr">
        <is>
          <t>건설기계 관리시스템</t>
        </is>
      </c>
      <c r="G843" s="24" t="inlineStr">
        <is>
          <t>건설기계 관리시스템</t>
        </is>
      </c>
    </row>
    <row r="844" customFormat="1" s="1">
      <c r="A844" s="6" t="n">
        <v>440</v>
      </c>
      <c r="B844" s="145" t="n">
        <v>111</v>
      </c>
      <c r="C844" s="146" t="n">
        <v>1</v>
      </c>
      <c r="D844" s="7" t="n">
        <v>6</v>
      </c>
      <c r="E844" s="6" t="inlineStr">
        <is>
          <t>산안법</t>
        </is>
      </c>
      <c r="F844" s="8" t="inlineStr">
        <is>
          <t>안전인증_보안경</t>
        </is>
      </c>
      <c r="G844" s="24" t="inlineStr">
        <is>
          <t>보안경의 종류와 안전기준</t>
        </is>
      </c>
    </row>
    <row r="845" customFormat="1" s="1">
      <c r="A845" s="6" t="n">
        <v>441</v>
      </c>
      <c r="B845" s="145" t="n">
        <v>111</v>
      </c>
      <c r="C845" s="146" t="n">
        <v>1</v>
      </c>
      <c r="D845" s="7" t="n">
        <v>7</v>
      </c>
      <c r="E845" s="6" t="inlineStr">
        <is>
          <t>산안법</t>
        </is>
      </c>
      <c r="F845" s="8" t="inlineStr">
        <is>
          <t>위험성 평가</t>
        </is>
      </c>
      <c r="G845" s="24" t="inlineStr">
        <is>
          <t>위험성평가 5원칙</t>
        </is>
      </c>
    </row>
    <row r="846" customFormat="1" s="1">
      <c r="A846" s="6" t="n">
        <v>442</v>
      </c>
      <c r="B846" s="145" t="n">
        <v>111</v>
      </c>
      <c r="C846" s="146" t="n">
        <v>1</v>
      </c>
      <c r="D846" s="7" t="n">
        <v>8</v>
      </c>
      <c r="E846" s="6" t="inlineStr">
        <is>
          <t>강재</t>
        </is>
      </c>
      <c r="F846" s="8" t="inlineStr">
        <is>
          <t>고장력 볼트</t>
        </is>
      </c>
      <c r="G846" s="24" t="inlineStr">
        <is>
          <t>고장력 볼트(High Tension Bolt)</t>
        </is>
      </c>
    </row>
    <row r="847" customFormat="1" s="1">
      <c r="A847" s="6" t="n">
        <v>443</v>
      </c>
      <c r="B847" s="145" t="n">
        <v>111</v>
      </c>
      <c r="C847" s="146" t="n">
        <v>1</v>
      </c>
      <c r="D847" s="7" t="n">
        <v>9</v>
      </c>
      <c r="E847" s="6" t="inlineStr">
        <is>
          <t>기타</t>
        </is>
      </c>
      <c r="F847" s="8" t="inlineStr">
        <is>
          <t>응급처치</t>
        </is>
      </c>
      <c r="G847" s="24" t="inlineStr">
        <is>
          <t>응급처치(First Aid)</t>
        </is>
      </c>
    </row>
    <row r="848" customFormat="1" s="1">
      <c r="A848" s="6" t="n">
        <v>444</v>
      </c>
      <c r="B848" s="145" t="n">
        <v>111</v>
      </c>
      <c r="C848" s="146" t="n">
        <v>1</v>
      </c>
      <c r="D848" s="7" t="n">
        <v>10</v>
      </c>
      <c r="E848" s="6" t="inlineStr">
        <is>
          <t>안전관리론</t>
        </is>
      </c>
      <c r="F848" s="8" t="inlineStr">
        <is>
          <t>안전보건교육 트랜드</t>
        </is>
      </c>
      <c r="G848" s="24" t="inlineStr">
        <is>
          <t>국내·외 안전보건교육의 트렌드</t>
        </is>
      </c>
    </row>
    <row r="849" customFormat="1" s="1">
      <c r="A849" s="6" t="n">
        <v>445</v>
      </c>
      <c r="B849" s="145" t="n">
        <v>111</v>
      </c>
      <c r="C849" s="146" t="n">
        <v>1</v>
      </c>
      <c r="D849" s="7" t="n">
        <v>11</v>
      </c>
      <c r="E849" s="6" t="inlineStr">
        <is>
          <t>안전관리론</t>
        </is>
      </c>
      <c r="F849" s="8" t="inlineStr">
        <is>
          <t>개인적 결함</t>
        </is>
      </c>
      <c r="G849" s="24" t="inlineStr">
        <is>
          <t>개인적 결함(불안전 요소)</t>
        </is>
      </c>
    </row>
    <row r="850" customFormat="1" s="1">
      <c r="A850" s="6" t="n">
        <v>446</v>
      </c>
      <c r="B850" s="145" t="n">
        <v>111</v>
      </c>
      <c r="C850" s="146" t="n">
        <v>1</v>
      </c>
      <c r="D850" s="7" t="n">
        <v>12</v>
      </c>
      <c r="E850" s="6" t="inlineStr">
        <is>
          <t>가설공사</t>
        </is>
      </c>
      <c r="F850" s="8" t="inlineStr">
        <is>
          <t>가설재의 구비요건</t>
        </is>
      </c>
      <c r="G850" s="24" t="inlineStr">
        <is>
          <t>가설재의 구비요건(3요소)</t>
        </is>
      </c>
    </row>
    <row r="851" customFormat="1" s="1">
      <c r="A851" s="6" t="n">
        <v>447</v>
      </c>
      <c r="B851" s="145" t="n">
        <v>111</v>
      </c>
      <c r="C851" s="146" t="n">
        <v>1</v>
      </c>
      <c r="D851" s="7" t="n">
        <v>13</v>
      </c>
      <c r="E851" s="6" t="inlineStr">
        <is>
          <t>지진</t>
        </is>
      </c>
      <c r="F851" s="8" t="inlineStr">
        <is>
          <t>교량 지진격리설계</t>
        </is>
      </c>
      <c r="G851" s="24" t="inlineStr">
        <is>
          <t>교량의 지진격리설계</t>
        </is>
      </c>
    </row>
    <row r="852" customFormat="1" s="1">
      <c r="A852" s="6" t="n">
        <v>448</v>
      </c>
      <c r="B852" s="145" t="n">
        <v>111</v>
      </c>
      <c r="C852" s="146" t="n">
        <v>2</v>
      </c>
      <c r="D852" s="7" t="n">
        <v>1</v>
      </c>
      <c r="E852" s="6" t="inlineStr">
        <is>
          <t>안전관리론</t>
        </is>
      </c>
      <c r="F852" s="8" t="inlineStr">
        <is>
          <t>사고발생 연쇄성 이론(하인리히)</t>
        </is>
      </c>
      <c r="G852" s="24" t="inlineStr">
        <is>
          <t>하인리히의 사고발생 연쇄성이론과 관리감독자의 역할을 설명하시오.</t>
        </is>
      </c>
    </row>
    <row r="853" customFormat="1" s="1">
      <c r="A853" s="6" t="n">
        <v>449</v>
      </c>
      <c r="B853" s="145" t="n">
        <v>111</v>
      </c>
      <c r="C853" s="146" t="n">
        <v>2</v>
      </c>
      <c r="D853" s="7" t="n">
        <v>2</v>
      </c>
      <c r="E853" s="6" t="inlineStr">
        <is>
          <t>안전관리론</t>
        </is>
      </c>
      <c r="F853" s="8" t="inlineStr">
        <is>
          <t>재해조사 및 통계</t>
        </is>
      </c>
      <c r="G853" s="24" t="inlineStr">
        <is>
          <t>재해통계의 종류, 목적, 법적근거, 작성 시 유의사항을 설명하시오.</t>
        </is>
      </c>
    </row>
    <row r="854" customFormat="1" s="1">
      <c r="A854" s="6" t="n">
        <v>450</v>
      </c>
      <c r="B854" s="145" t="n">
        <v>111</v>
      </c>
      <c r="C854" s="146" t="n">
        <v>2</v>
      </c>
      <c r="D854" s="7" t="n">
        <v>3</v>
      </c>
      <c r="E854" s="6" t="inlineStr">
        <is>
          <t>콘크리트</t>
        </is>
      </c>
      <c r="F854" s="8" t="inlineStr">
        <is>
          <t>불량 레미콘</t>
        </is>
      </c>
      <c r="G854" s="24" t="inlineStr">
        <is>
          <t>불량 레미콘의 발생유형 및 처리방안에 대하여 설명하시오.</t>
        </is>
      </c>
    </row>
    <row r="855" customFormat="1" s="1">
      <c r="A855" s="6" t="n">
        <v>451</v>
      </c>
      <c r="B855" s="145" t="n">
        <v>111</v>
      </c>
      <c r="C855" s="146" t="n">
        <v>2</v>
      </c>
      <c r="D855" s="7" t="n">
        <v>4</v>
      </c>
      <c r="E855" s="6" t="inlineStr">
        <is>
          <t>콘크리트</t>
        </is>
      </c>
      <c r="F855" s="8" t="inlineStr">
        <is>
          <t>골재</t>
        </is>
      </c>
      <c r="G855" s="24" t="inlineStr">
        <is>
          <t>잔골재의 입도, 유해물 함유량, 내구성에 대하여 설명하시오.</t>
        </is>
      </c>
    </row>
    <row r="856" customFormat="1" s="1">
      <c r="A856" s="6" t="n">
        <v>452</v>
      </c>
      <c r="B856" s="145" t="n">
        <v>111</v>
      </c>
      <c r="C856" s="146" t="n">
        <v>2</v>
      </c>
      <c r="D856" s="7" t="n">
        <v>5</v>
      </c>
      <c r="E856" s="6" t="inlineStr">
        <is>
          <t>건축</t>
        </is>
      </c>
      <c r="F856" s="8" t="inlineStr">
        <is>
          <t>초고층 건축물의 특징 재해유형</t>
        </is>
      </c>
      <c r="G856" s="24" t="inlineStr">
        <is>
          <t>초고층 건축물의 특징, 재해발생 요인 및 특성, 공정단계별 안전관리사항에 대하여 설명하시오.</t>
        </is>
      </c>
    </row>
    <row r="857" customFormat="1" s="1">
      <c r="A857" s="6" t="n">
        <v>453</v>
      </c>
      <c r="B857" s="145" t="n">
        <v>111</v>
      </c>
      <c r="C857" s="146" t="n">
        <v>2</v>
      </c>
      <c r="D857" s="7" t="n">
        <v>6</v>
      </c>
      <c r="E857" s="6" t="inlineStr">
        <is>
          <t>터널</t>
        </is>
      </c>
      <c r="F857" s="8" t="inlineStr">
        <is>
          <t>발파소음 기준 저감대책</t>
        </is>
      </c>
      <c r="G857" s="24" t="inlineStr">
        <is>
          <t>도심지 터널공사 시 발파로 인해 발생되는 진동 및 소음기준과 발파소음의 저감대책에 대하여 설명하시오.</t>
        </is>
      </c>
    </row>
    <row r="858" customFormat="1" s="1">
      <c r="A858" s="6" t="n">
        <v>454</v>
      </c>
      <c r="B858" s="145" t="n">
        <v>111</v>
      </c>
      <c r="C858" s="146" t="n">
        <v>3</v>
      </c>
      <c r="D858" s="7" t="n">
        <v>1</v>
      </c>
      <c r="E858" s="6" t="inlineStr">
        <is>
          <t>시설물안전법</t>
        </is>
      </c>
      <c r="F858" s="8" t="inlineStr">
        <is>
          <t>1종 2종 시설물</t>
        </is>
      </c>
      <c r="G858" s="24" t="inlineStr">
        <is>
          <t>시설물의 안전관리에 관한 특별법상 1종 시설물과 2종 시설물을 설명하시오.</t>
        </is>
      </c>
    </row>
    <row r="859" ht="33" customFormat="1" customHeight="1" s="1">
      <c r="A859" s="6" t="n">
        <v>455</v>
      </c>
      <c r="B859" s="145" t="n">
        <v>111</v>
      </c>
      <c r="C859" s="146" t="n">
        <v>3</v>
      </c>
      <c r="D859" s="7" t="n">
        <v>2</v>
      </c>
      <c r="E859" s="6" t="inlineStr">
        <is>
          <t>건설기계</t>
        </is>
      </c>
      <c r="F859" s="8" t="inlineStr">
        <is>
          <t>휴대용 연삭기</t>
        </is>
      </c>
      <c r="G859" s="24" t="inlineStr">
        <is>
          <t>휴대용 연삭기의 종류와 연삭기에 의한 재해원인을 기술하고, 휴대용 연삭기 작업 시 안전대책에 대하여 설명하시오.</t>
        </is>
      </c>
    </row>
    <row r="860" ht="33" customFormat="1" customHeight="1" s="1">
      <c r="A860" s="6" t="n">
        <v>456</v>
      </c>
      <c r="B860" s="145" t="n">
        <v>111</v>
      </c>
      <c r="C860" s="146" t="n">
        <v>3</v>
      </c>
      <c r="D860" s="7" t="n">
        <v>3</v>
      </c>
      <c r="E860" s="6" t="inlineStr">
        <is>
          <t>기초</t>
        </is>
      </c>
      <c r="F860" s="8" t="inlineStr">
        <is>
          <t>부력 양압력 부상</t>
        </is>
      </c>
      <c r="G860" s="24" t="inlineStr">
        <is>
          <t>건축구조물의 부력발생원인과 부상방지를 위한 공법별 특징과 유의사항 및 중점 안전 관리대책에 대하여 설명하시오.</t>
        </is>
      </c>
    </row>
    <row r="861" customFormat="1" s="1">
      <c r="A861" s="6" t="n">
        <v>457</v>
      </c>
      <c r="B861" s="145" t="n">
        <v>111</v>
      </c>
      <c r="C861" s="146" t="n">
        <v>3</v>
      </c>
      <c r="D861" s="7" t="n">
        <v>4</v>
      </c>
      <c r="E861" s="6" t="inlineStr">
        <is>
          <t>산안법</t>
        </is>
      </c>
      <c r="F861" s="8" t="inlineStr">
        <is>
          <t>산업안전보건위원회</t>
        </is>
      </c>
      <c r="G861" s="24" t="inlineStr">
        <is>
          <t>산업안전보건위원회에 대하여 설명하시오.</t>
        </is>
      </c>
    </row>
    <row r="862" customFormat="1" s="1">
      <c r="A862" s="6" t="n">
        <v>458</v>
      </c>
      <c r="B862" s="145" t="n">
        <v>111</v>
      </c>
      <c r="C862" s="146" t="n">
        <v>3</v>
      </c>
      <c r="D862" s="7" t="n">
        <v>5</v>
      </c>
      <c r="E862" s="6" t="inlineStr">
        <is>
          <t>건설기계</t>
        </is>
      </c>
      <c r="F862" s="8" t="inlineStr">
        <is>
          <t>고소작업대</t>
        </is>
      </c>
      <c r="G862" s="24" t="inlineStr">
        <is>
          <t>고소작업대 관련 법령(산업안전보건기준에 관한 규칙) 기준과 재해발생 형태별 예방대책을 설명하시오.</t>
        </is>
      </c>
    </row>
    <row r="863" ht="33" customFormat="1" customHeight="1" s="1">
      <c r="A863" s="6" t="n">
        <v>459</v>
      </c>
      <c r="B863" s="145" t="n">
        <v>111</v>
      </c>
      <c r="C863" s="146" t="n">
        <v>3</v>
      </c>
      <c r="D863" s="7" t="n">
        <v>6</v>
      </c>
      <c r="E863" s="6" t="inlineStr">
        <is>
          <t>기초</t>
        </is>
      </c>
      <c r="F863" s="8" t="inlineStr">
        <is>
          <t>흙막이 공법 히빙 파이핑</t>
        </is>
      </c>
      <c r="G863" s="24" t="inlineStr">
        <is>
          <t>굴착공사 시 적용 가능한 흙막이 공법의 종류와 연약지반 굴착 시 발생할 수 있는 히빙(Heaving)현상과 파이핑(Piping)현상의 안전대책에 대하여 설명하시오.</t>
        </is>
      </c>
    </row>
    <row r="864" ht="33" customFormat="1" customHeight="1" s="1">
      <c r="A864" s="6" t="n">
        <v>460</v>
      </c>
      <c r="B864" s="145" t="n">
        <v>111</v>
      </c>
      <c r="C864" s="146" t="n">
        <v>4</v>
      </c>
      <c r="D864" s="7" t="n">
        <v>1</v>
      </c>
      <c r="E864" s="6" t="inlineStr">
        <is>
          <t>건진법</t>
        </is>
      </c>
      <c r="F864" s="8" t="inlineStr">
        <is>
          <t>안전관리계획서 해체공사</t>
        </is>
      </c>
      <c r="G864" s="24" t="inlineStr">
        <is>
          <t>10층 이상 건축물의 해체 등 건설기술진흥법상 안전관리계획 의무대상 건설공사를 열거하고, 해체공사계획의 주요 내용을 설명하시오.</t>
        </is>
      </c>
    </row>
    <row r="865" customFormat="1" s="1">
      <c r="A865" s="6" t="n">
        <v>461</v>
      </c>
      <c r="B865" s="145" t="n">
        <v>111</v>
      </c>
      <c r="C865" s="146" t="n">
        <v>4</v>
      </c>
      <c r="D865" s="7" t="n">
        <v>2</v>
      </c>
      <c r="E865" s="6" t="inlineStr">
        <is>
          <t>가설공사</t>
        </is>
      </c>
      <c r="F865" s="8" t="inlineStr">
        <is>
          <t>수직보호망</t>
        </is>
      </c>
      <c r="G865" s="24" t="inlineStr">
        <is>
          <t>시공 중인 건설물의 외측면에 설치하는 수직보호망의 재료기준 및 조립기준, 사용 시 안전대책을 설명하시오.</t>
        </is>
      </c>
    </row>
    <row r="866" customFormat="1" s="1">
      <c r="A866" s="6" t="n">
        <v>462</v>
      </c>
      <c r="B866" s="145" t="n">
        <v>111</v>
      </c>
      <c r="C866" s="146" t="n">
        <v>4</v>
      </c>
      <c r="D866" s="7" t="n">
        <v>3</v>
      </c>
      <c r="E866" s="6" t="inlineStr">
        <is>
          <t>토공</t>
        </is>
      </c>
      <c r="F866" s="8" t="inlineStr">
        <is>
          <t>측방유동</t>
        </is>
      </c>
      <c r="G866" s="24" t="inlineStr">
        <is>
          <t>교량공사 중 교대의 측방유동 발생 시 문제점과 발생원인 및 방지대책에 대하여 설명하시오.</t>
        </is>
      </c>
    </row>
    <row r="867" customFormat="1" s="1">
      <c r="A867" s="6" t="n">
        <v>463</v>
      </c>
      <c r="B867" s="145" t="n">
        <v>111</v>
      </c>
      <c r="C867" s="146" t="n">
        <v>4</v>
      </c>
      <c r="D867" s="7" t="n">
        <v>4</v>
      </c>
      <c r="E867" s="6" t="inlineStr">
        <is>
          <t>기초</t>
        </is>
      </c>
      <c r="F867" s="8" t="inlineStr">
        <is>
          <t>S.C.W(Soil Cement Wall) 공법</t>
        </is>
      </c>
      <c r="G867" s="24" t="inlineStr">
        <is>
          <t>S.C.W(Soil Cement Wall) 공법에 대하여 설명하시오.</t>
        </is>
      </c>
    </row>
    <row r="868" customFormat="1" s="1">
      <c r="A868" s="6" t="n">
        <v>464</v>
      </c>
      <c r="B868" s="145" t="n">
        <v>111</v>
      </c>
      <c r="C868" s="146" t="n">
        <v>4</v>
      </c>
      <c r="D868" s="7" t="n">
        <v>5</v>
      </c>
      <c r="E868" s="6" t="inlineStr">
        <is>
          <t>산안법</t>
        </is>
      </c>
      <c r="F868" s="8" t="inlineStr">
        <is>
          <t>와이어로프</t>
        </is>
      </c>
      <c r="G868" s="24" t="inlineStr">
        <is>
          <t>권상용 와이어로프의 운반기계별 안전율 및 단말체결방법에 따른 효율성과 폐기기준에 대하여 설명하시오.</t>
        </is>
      </c>
    </row>
    <row r="869" customFormat="1" s="1">
      <c r="A869" s="6" t="n">
        <v>465</v>
      </c>
      <c r="B869" s="145" t="n">
        <v>111</v>
      </c>
      <c r="C869" s="146" t="n">
        <v>4</v>
      </c>
      <c r="D869" s="7" t="n">
        <v>6</v>
      </c>
      <c r="E869" s="6" t="inlineStr">
        <is>
          <t>지진</t>
        </is>
      </c>
      <c r="F869" s="8" t="inlineStr">
        <is>
          <t>지진피해영향</t>
        </is>
      </c>
      <c r="G869" s="24" t="inlineStr">
        <is>
          <t>지진을 분류하고 지진발생으로 인한 피해영향과 구조물의 안전성 확보를 위한 방지 대책을 설명하시오.</t>
        </is>
      </c>
    </row>
    <row r="870" customFormat="1" s="1">
      <c r="A870" s="6" t="n">
        <v>466</v>
      </c>
      <c r="B870" s="145" t="n">
        <v>110</v>
      </c>
      <c r="C870" s="146" t="n">
        <v>1</v>
      </c>
      <c r="D870" s="7" t="n">
        <v>1</v>
      </c>
      <c r="E870" s="6" t="inlineStr">
        <is>
          <t>안전관리론</t>
        </is>
      </c>
      <c r="F870" s="8" t="inlineStr">
        <is>
          <t>인간공학_휴먼에러(Wiener)</t>
        </is>
      </c>
      <c r="G870" s="24" t="inlineStr">
        <is>
          <t>휴먼에러(Human Error) 예방의 일반원칙(Wiener)</t>
        </is>
      </c>
    </row>
    <row r="871" customFormat="1" s="1">
      <c r="A871" s="6" t="n">
        <v>467</v>
      </c>
      <c r="B871" s="145" t="n">
        <v>110</v>
      </c>
      <c r="C871" s="146" t="n">
        <v>1</v>
      </c>
      <c r="D871" s="7" t="n">
        <v>2</v>
      </c>
      <c r="E871" s="6" t="inlineStr">
        <is>
          <t>건진법</t>
        </is>
      </c>
      <c r="F871" s="8" t="inlineStr">
        <is>
          <t>가설구조물 안전성 확인</t>
        </is>
      </c>
      <c r="G871" s="24" t="inlineStr">
        <is>
          <t>건설기술진흥법상 가설구조물의 안전성확인</t>
        </is>
      </c>
    </row>
    <row r="872" customFormat="1" s="1">
      <c r="A872" s="6" t="n">
        <v>468</v>
      </c>
      <c r="B872" s="145" t="n">
        <v>110</v>
      </c>
      <c r="C872" s="146" t="n">
        <v>1</v>
      </c>
      <c r="D872" s="7" t="n">
        <v>3</v>
      </c>
      <c r="E872" s="6" t="inlineStr">
        <is>
          <t>산안법</t>
        </is>
      </c>
      <c r="F872" s="8" t="inlineStr">
        <is>
          <t>작업환경_화학물질 및 물리적인자의 노출기준</t>
        </is>
      </c>
      <c r="G872" s="24" t="inlineStr">
        <is>
          <t>화학물질 및 물리적 인자의 노출기준</t>
        </is>
      </c>
    </row>
    <row r="873" customFormat="1" s="1">
      <c r="A873" s="6" t="n">
        <v>469</v>
      </c>
      <c r="B873" s="145" t="n">
        <v>110</v>
      </c>
      <c r="C873" s="146" t="n">
        <v>1</v>
      </c>
      <c r="D873" s="7" t="n">
        <v>4</v>
      </c>
      <c r="E873" s="6" t="inlineStr">
        <is>
          <t>안전관리론</t>
        </is>
      </c>
      <c r="F873" s="8" t="inlineStr">
        <is>
          <t>안전관리이론_정신상태불량</t>
        </is>
      </c>
      <c r="G873" s="24" t="inlineStr">
        <is>
          <t>정신상태 불량으로 발생되는 안전사고 요인</t>
        </is>
      </c>
    </row>
    <row r="874" customFormat="1" s="1">
      <c r="A874" s="6" t="n">
        <v>470</v>
      </c>
      <c r="B874" s="145" t="n">
        <v>110</v>
      </c>
      <c r="C874" s="146" t="n">
        <v>1</v>
      </c>
      <c r="D874" s="7" t="n">
        <v>5</v>
      </c>
      <c r="E874" s="6" t="inlineStr">
        <is>
          <t>건진법</t>
        </is>
      </c>
      <c r="F874" s="8" t="inlineStr">
        <is>
          <t>DFS</t>
        </is>
      </c>
      <c r="G874" s="24" t="inlineStr">
        <is>
          <t>건설기술진흥법상 설계안전성검토(Design For Safety)</t>
        </is>
      </c>
    </row>
    <row r="875" customFormat="1" s="1">
      <c r="A875" s="6" t="n">
        <v>471</v>
      </c>
      <c r="B875" s="145" t="n">
        <v>110</v>
      </c>
      <c r="C875" s="146" t="n">
        <v>1</v>
      </c>
      <c r="D875" s="7" t="n">
        <v>6</v>
      </c>
      <c r="E875" s="6" t="inlineStr">
        <is>
          <t>기타</t>
        </is>
      </c>
      <c r="F875" s="8" t="inlineStr">
        <is>
          <t>SI단위</t>
        </is>
      </c>
      <c r="G875" s="24" t="inlineStr">
        <is>
          <t>SI단위 사용규칙</t>
        </is>
      </c>
    </row>
    <row r="876" customFormat="1" s="1">
      <c r="A876" s="6" t="n">
        <v>472</v>
      </c>
      <c r="B876" s="145" t="n">
        <v>110</v>
      </c>
      <c r="C876" s="146" t="n">
        <v>1</v>
      </c>
      <c r="D876" s="7" t="n">
        <v>7</v>
      </c>
      <c r="E876" s="6" t="inlineStr">
        <is>
          <t>콘크리트</t>
        </is>
      </c>
      <c r="F876" s="8" t="inlineStr">
        <is>
          <t>철근 롤링마크</t>
        </is>
      </c>
      <c r="G876" s="24" t="inlineStr">
        <is>
          <t>철근의 롤링마크(Rolling Mark)</t>
        </is>
      </c>
    </row>
    <row r="877" customFormat="1" s="1">
      <c r="A877" s="6" t="n">
        <v>473</v>
      </c>
      <c r="B877" s="145" t="n">
        <v>110</v>
      </c>
      <c r="C877" s="146" t="n">
        <v>1</v>
      </c>
      <c r="D877" s="7" t="n">
        <v>8</v>
      </c>
      <c r="E877" s="6" t="inlineStr">
        <is>
          <t>가설공사</t>
        </is>
      </c>
      <c r="F877" s="8" t="inlineStr">
        <is>
          <t>개구부 수평보호덮개</t>
        </is>
      </c>
      <c r="G877" s="24" t="inlineStr">
        <is>
          <t>개구부 수평 보호덮개</t>
        </is>
      </c>
    </row>
    <row r="878" customFormat="1" s="1">
      <c r="A878" s="6" t="n">
        <v>474</v>
      </c>
      <c r="B878" s="145" t="n">
        <v>110</v>
      </c>
      <c r="C878" s="146" t="n">
        <v>1</v>
      </c>
      <c r="D878" s="7" t="n">
        <v>9</v>
      </c>
      <c r="E878" s="6" t="inlineStr">
        <is>
          <t>안전관리론</t>
        </is>
      </c>
      <c r="F878" s="8" t="inlineStr">
        <is>
          <t>안전교육 사례연구법</t>
        </is>
      </c>
      <c r="G878" s="24" t="inlineStr">
        <is>
          <t>안전교육 방법 중 사례연구법</t>
        </is>
      </c>
    </row>
    <row r="879" customFormat="1" s="1">
      <c r="A879" s="6" t="n">
        <v>475</v>
      </c>
      <c r="B879" s="145" t="n">
        <v>110</v>
      </c>
      <c r="C879" s="146" t="n">
        <v>1</v>
      </c>
      <c r="D879" s="7" t="n">
        <v>10</v>
      </c>
      <c r="E879" s="6" t="inlineStr">
        <is>
          <t>기초</t>
        </is>
      </c>
      <c r="F879" s="8" t="inlineStr">
        <is>
          <t>배토말뚝 비매토 말뚝</t>
        </is>
      </c>
      <c r="G879" s="24" t="inlineStr">
        <is>
          <t>배토말뚝과 비배토말뚝</t>
        </is>
      </c>
    </row>
    <row r="880" customFormat="1" s="1">
      <c r="A880" s="6" t="n">
        <v>476</v>
      </c>
      <c r="B880" s="145" t="n">
        <v>110</v>
      </c>
      <c r="C880" s="146" t="n">
        <v>1</v>
      </c>
      <c r="D880" s="7" t="n">
        <v>11</v>
      </c>
      <c r="E880" s="6" t="inlineStr">
        <is>
          <t>강재</t>
        </is>
      </c>
      <c r="F880" s="8" t="inlineStr">
        <is>
          <t>비파괴시험 종류 방법</t>
        </is>
      </c>
      <c r="G880" s="24" t="inlineStr">
        <is>
          <t>강구조물의 비파괴시험 종류 및 검사방법</t>
        </is>
      </c>
    </row>
    <row r="881" customFormat="1" s="1">
      <c r="A881" s="6" t="n">
        <v>477</v>
      </c>
      <c r="B881" s="145" t="n">
        <v>110</v>
      </c>
      <c r="C881" s="146" t="n">
        <v>1</v>
      </c>
      <c r="D881" s="7" t="n">
        <v>12</v>
      </c>
      <c r="E881" s="6" t="inlineStr">
        <is>
          <t>가설공사</t>
        </is>
      </c>
      <c r="F881" s="8" t="inlineStr">
        <is>
          <t>낙하물방지망</t>
        </is>
      </c>
      <c r="G881" s="24" t="inlineStr">
        <is>
          <t>낙하물방지망 설치근거와 기준</t>
        </is>
      </c>
    </row>
    <row r="882" customFormat="1" s="1">
      <c r="A882" s="6" t="n">
        <v>478</v>
      </c>
      <c r="B882" s="145" t="n">
        <v>110</v>
      </c>
      <c r="C882" s="146" t="n">
        <v>1</v>
      </c>
      <c r="D882" s="7" t="n">
        <v>13</v>
      </c>
      <c r="E882" s="6" t="inlineStr">
        <is>
          <t>시설물안전법</t>
        </is>
      </c>
      <c r="F882" s="8" t="inlineStr">
        <is>
          <t>중대한 결함</t>
        </is>
      </c>
      <c r="G882" s="24" t="inlineStr">
        <is>
          <t>시설물의 안전점검 결과 중대결함 발견 시 관리주체가 하여야 할 조치사항</t>
        </is>
      </c>
    </row>
    <row r="883" customFormat="1" s="1">
      <c r="A883" s="6" t="n">
        <v>479</v>
      </c>
      <c r="B883" s="145" t="n">
        <v>110</v>
      </c>
      <c r="C883" s="146" t="n">
        <v>2</v>
      </c>
      <c r="D883" s="7" t="n">
        <v>1</v>
      </c>
      <c r="E883" s="6" t="inlineStr">
        <is>
          <t>산안법</t>
        </is>
      </c>
      <c r="F883" s="8" t="inlineStr">
        <is>
          <t>위험성 평가</t>
        </is>
      </c>
      <c r="G883" s="24" t="inlineStr">
        <is>
          <t>산업안전보건법에 따른 위험성평가의 절차와 위험성 감소대책 수립 및 실행에 대하여 설명하시오.</t>
        </is>
      </c>
    </row>
    <row r="884" ht="33" customFormat="1" customHeight="1" s="1">
      <c r="A884" s="6" t="n">
        <v>480</v>
      </c>
      <c r="B884" s="145" t="n">
        <v>110</v>
      </c>
      <c r="C884" s="146" t="n">
        <v>2</v>
      </c>
      <c r="D884" s="7" t="n">
        <v>2</v>
      </c>
      <c r="E884" s="6" t="inlineStr">
        <is>
          <t>터널</t>
        </is>
      </c>
      <c r="F884" s="8" t="inlineStr">
        <is>
          <t>보강공법 지보재 숏크리트 록볼트</t>
        </is>
      </c>
      <c r="G884" s="24" t="inlineStr">
        <is>
          <t>터널굴착 시 보강공법을 적용해야 되는 대상지반유형을 제시하고, 지보재의 종류와 역할, 숏크리트(Shotcrete)와 록볼트(Rock Bolt)의 주요기능 및 작용효과를 설명하시오.</t>
        </is>
      </c>
    </row>
    <row r="885" customFormat="1" s="1">
      <c r="A885" s="6" t="n">
        <v>481</v>
      </c>
      <c r="B885" s="145" t="n">
        <v>110</v>
      </c>
      <c r="C885" s="146" t="n">
        <v>2</v>
      </c>
      <c r="D885" s="7" t="n">
        <v>3</v>
      </c>
      <c r="E885" s="6" t="inlineStr">
        <is>
          <t>건축</t>
        </is>
      </c>
      <c r="F885" s="8" t="inlineStr">
        <is>
          <t>초고층건축물의 양중계획</t>
        </is>
      </c>
      <c r="G885" s="24" t="inlineStr">
        <is>
          <t>초고층 건축물의 양중계획 시 고려사항과 자재 양중 시의 안전대책에 대하여 설명하시오.</t>
        </is>
      </c>
    </row>
    <row r="886" ht="33" customFormat="1" customHeight="1" s="1">
      <c r="A886" s="6" t="n">
        <v>482</v>
      </c>
      <c r="B886" s="145" t="n">
        <v>110</v>
      </c>
      <c r="C886" s="146" t="n">
        <v>2</v>
      </c>
      <c r="D886" s="7" t="n">
        <v>4</v>
      </c>
      <c r="E886" s="6" t="inlineStr">
        <is>
          <t>재해유형</t>
        </is>
      </c>
      <c r="F886" s="8" t="inlineStr">
        <is>
          <t>화재</t>
        </is>
      </c>
      <c r="G886" s="24" t="inlineStr">
        <is>
          <t>지하철역사 심층공간에서 재해발생 시 대형재해로 확산 될 수 있어 공사 시 이에 대한 사전대책이 요구되고 있는 바, 화재 발생 시 안전과 관련되는 방재적 특징과 안전대책에 대하여 설명하시오.</t>
        </is>
      </c>
    </row>
    <row r="887" customFormat="1" s="1">
      <c r="A887" s="6" t="n">
        <v>483</v>
      </c>
      <c r="B887" s="145" t="n">
        <v>110</v>
      </c>
      <c r="C887" s="146" t="n">
        <v>2</v>
      </c>
      <c r="D887" s="7" t="n">
        <v>5</v>
      </c>
      <c r="E887" s="6" t="inlineStr">
        <is>
          <t>재해유형</t>
        </is>
      </c>
      <c r="F887" s="8" t="inlineStr">
        <is>
          <t>건축물 붕괴사고 인명구조</t>
        </is>
      </c>
      <c r="G887" s="24" t="inlineStr">
        <is>
          <t>사용 중인 건축물 붕괴사고 발생 시 피해유형과 인명구조 행동요령에 대하여 설명하시오.</t>
        </is>
      </c>
    </row>
    <row r="888" customFormat="1" s="1">
      <c r="A888" s="6" t="n">
        <v>484</v>
      </c>
      <c r="B888" s="145" t="n">
        <v>110</v>
      </c>
      <c r="C888" s="146" t="n">
        <v>2</v>
      </c>
      <c r="D888" s="7" t="n">
        <v>6</v>
      </c>
      <c r="E888" s="6" t="inlineStr">
        <is>
          <t>재해유형</t>
        </is>
      </c>
      <c r="F888" s="8" t="inlineStr">
        <is>
          <t>유기용제</t>
        </is>
      </c>
      <c r="G888" s="24" t="inlineStr">
        <is>
          <t>건설공사 중 용제류 사용에 의한 안전사고 발생원인 및 안전대책에 대하여 설명하시오.</t>
        </is>
      </c>
    </row>
    <row r="889" customFormat="1" s="1">
      <c r="A889" s="6" t="n">
        <v>485</v>
      </c>
      <c r="B889" s="145" t="n">
        <v>110</v>
      </c>
      <c r="C889" s="146" t="n">
        <v>3</v>
      </c>
      <c r="D889" s="7" t="n">
        <v>1</v>
      </c>
      <c r="E889" s="6" t="inlineStr">
        <is>
          <t>기타</t>
        </is>
      </c>
      <c r="F889" s="8" t="inlineStr">
        <is>
          <t>건설현장 야간작업 안전지침</t>
        </is>
      </c>
      <c r="G889" s="24" t="inlineStr">
        <is>
          <t>건설현장 야간작업 시 안전사고 예방을 위한 야간작업 안전지침에 대하여 설명하시오.</t>
        </is>
      </c>
    </row>
    <row r="890" ht="33" customFormat="1" customHeight="1" s="1">
      <c r="A890" s="6" t="n">
        <v>486</v>
      </c>
      <c r="B890" s="145" t="n">
        <v>110</v>
      </c>
      <c r="C890" s="146" t="n">
        <v>3</v>
      </c>
      <c r="D890" s="7" t="n">
        <v>2</v>
      </c>
      <c r="E890" s="6" t="inlineStr">
        <is>
          <t>건설기계</t>
        </is>
      </c>
      <c r="F890" s="8" t="inlineStr">
        <is>
          <t>지게차</t>
        </is>
      </c>
      <c r="G890" s="24" t="inlineStr">
        <is>
          <t>건설기계의 재해발생형태별 재해원인을 기술하고, 지게차 작업 시 재해 발생원인과 재해예방 대책에 대하여 설명하시오.</t>
        </is>
      </c>
    </row>
    <row r="891" ht="33" customFormat="1" customHeight="1" s="1">
      <c r="A891" s="6" t="n">
        <v>487</v>
      </c>
      <c r="B891" s="145" t="n">
        <v>110</v>
      </c>
      <c r="C891" s="146" t="n">
        <v>3</v>
      </c>
      <c r="D891" s="7" t="n">
        <v>3</v>
      </c>
      <c r="E891" s="6" t="inlineStr">
        <is>
          <t>가설공사</t>
        </is>
      </c>
      <c r="F891" s="8" t="inlineStr">
        <is>
          <t>강관비계</t>
        </is>
      </c>
      <c r="G891" s="24" t="inlineStr">
        <is>
          <t>도로와 인도에 접하는 도심의 리모델링 건축공사 시 외부비계에서 발생할 수 있는 안전사고의 종류와 원인 및 방지대책에 대하여 설명하시오.</t>
        </is>
      </c>
    </row>
    <row r="892" ht="33" customFormat="1" customHeight="1" s="1">
      <c r="A892" s="6" t="n">
        <v>488</v>
      </c>
      <c r="B892" s="145" t="n">
        <v>110</v>
      </c>
      <c r="C892" s="146" t="n">
        <v>3</v>
      </c>
      <c r="D892" s="7" t="n">
        <v>4</v>
      </c>
      <c r="E892" s="6" t="inlineStr">
        <is>
          <t>계절재해</t>
        </is>
      </c>
      <c r="F892" s="8" t="inlineStr">
        <is>
          <t>폭염_지구온난화 이상기후</t>
        </is>
      </c>
      <c r="G892" s="24" t="inlineStr">
        <is>
          <t>지구온난화에 의한 이상기후로 피해가 급증하고 있는 바, 이상기후에 대한 건설현장의 안전관리대책과 폭염 시 질병예방을 위한 안전조치에 대하여 설명하시오.</t>
        </is>
      </c>
    </row>
    <row r="893" ht="33" customFormat="1" customHeight="1" s="1">
      <c r="A893" s="6" t="n">
        <v>489</v>
      </c>
      <c r="B893" s="145" t="n">
        <v>110</v>
      </c>
      <c r="C893" s="146" t="n">
        <v>3</v>
      </c>
      <c r="D893" s="7" t="n">
        <v>5</v>
      </c>
      <c r="E893" s="6" t="inlineStr">
        <is>
          <t>지진</t>
        </is>
      </c>
      <c r="F893" s="8" t="inlineStr">
        <is>
          <t>내진설계 대상 건축물</t>
        </is>
      </c>
      <c r="G893" s="24" t="inlineStr">
        <is>
          <t>건축법에서 규정하고 있는 내진설계 대상 건축물을 제시하고, 내진성능평가를 위한 재료강도를 결정하는 방법 중 설계도서가 있는 경우와 없는 경우의 콘크리트 및 조적의 강도결정방법에 대하여 설명하시오.</t>
        </is>
      </c>
    </row>
    <row r="894" ht="33" customFormat="1" customHeight="1" s="1">
      <c r="A894" s="6" t="n">
        <v>490</v>
      </c>
      <c r="B894" s="145" t="n">
        <v>110</v>
      </c>
      <c r="C894" s="146" t="n">
        <v>3</v>
      </c>
      <c r="D894" s="7" t="n">
        <v>6</v>
      </c>
      <c r="E894" s="6" t="inlineStr">
        <is>
          <t>콘크리트</t>
        </is>
      </c>
      <c r="F894" s="8" t="inlineStr">
        <is>
          <t>거푸집동바리_풍하중</t>
        </is>
      </c>
      <c r="G894" s="24" t="inlineStr">
        <is>
          <t>순간 최대 풍속이 40 m/sec인 태풍이 예보된 상황에서 교량건설공사현장의 거푸집 동바리에 작용하는 풍하중과 안전점검기준에 대하여 설명하시오.</t>
        </is>
      </c>
    </row>
    <row r="895" ht="33" customFormat="1" customHeight="1" s="1">
      <c r="A895" s="6" t="n">
        <v>491</v>
      </c>
      <c r="B895" s="145" t="n">
        <v>110</v>
      </c>
      <c r="C895" s="146" t="n">
        <v>4</v>
      </c>
      <c r="D895" s="7" t="n">
        <v>1</v>
      </c>
      <c r="E895" s="6" t="inlineStr">
        <is>
          <t>기타</t>
        </is>
      </c>
      <c r="F895" s="8" t="inlineStr">
        <is>
          <t>자연재난 인적재난</t>
        </is>
      </c>
      <c r="G895" s="24" t="inlineStr">
        <is>
          <t>우리나라에서 발생할 수 있는 자연적재난과 인적재난의 종류별로 건설현장의 피해, 사고원인 및 예방대책에 대하여 설명하시오.</t>
        </is>
      </c>
    </row>
    <row r="896" ht="33" customFormat="1" customHeight="1" s="1">
      <c r="A896" s="6" t="n">
        <v>492</v>
      </c>
      <c r="B896" s="145" t="n">
        <v>110</v>
      </c>
      <c r="C896" s="146" t="n">
        <v>4</v>
      </c>
      <c r="D896" s="7" t="n">
        <v>2</v>
      </c>
      <c r="E896" s="6" t="inlineStr">
        <is>
          <t>철골</t>
        </is>
      </c>
      <c r="F896" s="8" t="inlineStr">
        <is>
          <t>내화뿜칠</t>
        </is>
      </c>
      <c r="G896" s="24" t="inlineStr">
        <is>
          <t>철골구조물의 화재발생 시 내화성능을 확보하기 위한 철골기둥과 철골보의 내화뿜칠재 두께 측정위치를 도시하고, 측정방법과 판정기준을 설명하시오.</t>
        </is>
      </c>
    </row>
    <row r="897" ht="33" customFormat="1" customHeight="1" s="1">
      <c r="A897" s="6" t="n">
        <v>493</v>
      </c>
      <c r="B897" s="145" t="n">
        <v>110</v>
      </c>
      <c r="C897" s="146" t="n">
        <v>4</v>
      </c>
      <c r="D897" s="7" t="n">
        <v>3</v>
      </c>
      <c r="E897" s="6" t="inlineStr">
        <is>
          <t>기초</t>
        </is>
      </c>
      <c r="F897" s="8" t="inlineStr">
        <is>
          <t>흙막이 가시설 붕괴 계측</t>
        </is>
      </c>
      <c r="G897" s="24" t="inlineStr">
        <is>
          <t>지하 흙막이 가시설 붕괴사고 예방을 위한 계측의 목적, 흙막이구조 및 주변의 계측 관리기준, 현행 계측관리의 문제점 및 개선대책에 대하여 설명하시오.</t>
        </is>
      </c>
    </row>
    <row r="898" customFormat="1" s="1">
      <c r="A898" s="6" t="n">
        <v>494</v>
      </c>
      <c r="B898" s="145" t="n">
        <v>110</v>
      </c>
      <c r="C898" s="146" t="n">
        <v>4</v>
      </c>
      <c r="D898" s="7" t="n">
        <v>4</v>
      </c>
      <c r="E898" s="6" t="inlineStr">
        <is>
          <t>건축</t>
        </is>
      </c>
      <c r="F898" s="8" t="inlineStr">
        <is>
          <t>고층건축물 피난안전구역 소방시설설치기준</t>
        </is>
      </c>
      <c r="G898" s="24" t="inlineStr">
        <is>
          <t>고층 건축물의 피난안전구역의 개념과 피난안전구역의 건축 및 소방시설 설치기준에 대하여 설명하시오.</t>
        </is>
      </c>
    </row>
    <row r="899" ht="33" customFormat="1" customHeight="1" s="1">
      <c r="A899" s="6" t="n">
        <v>495</v>
      </c>
      <c r="B899" s="145" t="n">
        <v>110</v>
      </c>
      <c r="C899" s="146" t="n">
        <v>4</v>
      </c>
      <c r="D899" s="7" t="n">
        <v>5</v>
      </c>
      <c r="E899" s="6" t="inlineStr">
        <is>
          <t>기초</t>
        </is>
      </c>
      <c r="F899" s="8" t="inlineStr">
        <is>
          <t>흙막이</t>
        </is>
      </c>
      <c r="G899" s="24" t="inlineStr">
        <is>
          <t>도시철도 개착정거장의 굴착작업 전 흙막이 가시설을 위한 천공 작업을 계획 중에 있다. 발생가능한 지장물 파손사고 대상과 지장물 파손사고 예방을 위한 안전관리 계획에 대하여 설명하시오.</t>
        </is>
      </c>
    </row>
    <row r="900" ht="33" customFormat="1" customHeight="1" s="1">
      <c r="A900" s="6" t="n">
        <v>496</v>
      </c>
      <c r="B900" s="145" t="n">
        <v>110</v>
      </c>
      <c r="C900" s="146" t="n">
        <v>4</v>
      </c>
      <c r="D900" s="7" t="n">
        <v>6</v>
      </c>
      <c r="E900" s="6" t="inlineStr">
        <is>
          <t>토공</t>
        </is>
      </c>
      <c r="F900" s="8" t="inlineStr">
        <is>
          <t>사면안정+옹벽붕괴</t>
        </is>
      </c>
      <c r="G900" s="24" t="inlineStr">
        <is>
          <t>폭우로 인하여 비탈면 토사가 유실되고, 높이 5 m의 옹벽이 붕괴되었다. 비탈면 토사유실 및 옹벽붕괴의 주요원인과 안전대책에 대하여 설명하시오.</t>
        </is>
      </c>
    </row>
    <row r="901" customFormat="1" s="1">
      <c r="A901" s="6" t="n">
        <v>497</v>
      </c>
      <c r="B901" s="145" t="n">
        <v>109</v>
      </c>
      <c r="C901" s="146" t="n">
        <v>1</v>
      </c>
      <c r="D901" s="7" t="n">
        <v>1</v>
      </c>
      <c r="E901" s="6" t="inlineStr">
        <is>
          <t>안전관리론</t>
        </is>
      </c>
      <c r="F901" s="8" t="inlineStr">
        <is>
          <t>안전관리이론_ERG이론</t>
        </is>
      </c>
      <c r="G901" s="24" t="inlineStr">
        <is>
          <t>알더퍼(Alderfer) ERG 이론</t>
        </is>
      </c>
    </row>
    <row r="902" customFormat="1" s="1">
      <c r="A902" s="6" t="n">
        <v>498</v>
      </c>
      <c r="B902" s="145" t="n">
        <v>109</v>
      </c>
      <c r="C902" s="146" t="n">
        <v>1</v>
      </c>
      <c r="D902" s="7" t="n">
        <v>2</v>
      </c>
      <c r="E902" s="6" t="inlineStr">
        <is>
          <t>산안법</t>
        </is>
      </c>
      <c r="F902" s="8" t="inlineStr">
        <is>
          <t>안전인증 자율안전확인신고대상</t>
        </is>
      </c>
      <c r="G902" s="24" t="inlineStr">
        <is>
          <t>안전인증 및 자율안전 확인신고대상 가설기자재의 종류</t>
        </is>
      </c>
    </row>
    <row r="903" customFormat="1" s="1">
      <c r="A903" s="6" t="n">
        <v>499</v>
      </c>
      <c r="B903" s="145" t="n">
        <v>109</v>
      </c>
      <c r="C903" s="146" t="n">
        <v>1</v>
      </c>
      <c r="D903" s="7" t="n">
        <v>3</v>
      </c>
      <c r="E903" s="6" t="inlineStr">
        <is>
          <t>시설물안전법</t>
        </is>
      </c>
      <c r="F903" s="8" t="inlineStr">
        <is>
          <t>고정하중</t>
        </is>
      </c>
      <c r="G903" s="24" t="inlineStr">
        <is>
          <t>고정하중(Dead load)과 활하중(Live load)</t>
        </is>
      </c>
    </row>
    <row r="904" customFormat="1" s="1">
      <c r="A904" s="6" t="n">
        <v>500</v>
      </c>
      <c r="B904" s="145" t="n">
        <v>109</v>
      </c>
      <c r="C904" s="146" t="n">
        <v>1</v>
      </c>
      <c r="D904" s="7" t="n">
        <v>4</v>
      </c>
      <c r="E904" s="6" t="inlineStr">
        <is>
          <t>가설공사</t>
        </is>
      </c>
      <c r="F904" s="8" t="inlineStr">
        <is>
          <t>내민비계</t>
        </is>
      </c>
      <c r="G904" s="24" t="inlineStr">
        <is>
          <t>내민비계</t>
        </is>
      </c>
    </row>
    <row r="905" customFormat="1" s="1">
      <c r="A905" s="6" t="n">
        <v>501</v>
      </c>
      <c r="B905" s="145" t="n">
        <v>109</v>
      </c>
      <c r="C905" s="146" t="n">
        <v>1</v>
      </c>
      <c r="D905" s="7" t="n">
        <v>5</v>
      </c>
      <c r="E905" s="6" t="inlineStr">
        <is>
          <t>콘크리트</t>
        </is>
      </c>
      <c r="F905" s="8" t="inlineStr">
        <is>
          <t>압축강도 _28일</t>
        </is>
      </c>
      <c r="G905" s="24" t="inlineStr">
        <is>
          <t>콘크리트 압축강도를 28일 양생 강도 기준으로 하는 이유</t>
        </is>
      </c>
    </row>
    <row r="906" customFormat="1" s="1">
      <c r="A906" s="6" t="n">
        <v>502</v>
      </c>
      <c r="B906" s="145" t="n">
        <v>109</v>
      </c>
      <c r="C906" s="146" t="n">
        <v>1</v>
      </c>
      <c r="D906" s="7" t="n">
        <v>6</v>
      </c>
      <c r="E906" s="6" t="inlineStr">
        <is>
          <t>재해유형</t>
        </is>
      </c>
      <c r="F906" s="8" t="inlineStr">
        <is>
          <t>전기재해</t>
        </is>
      </c>
      <c r="G906" s="24" t="inlineStr">
        <is>
          <t>활선 및 활선 근접작업시 안전대책</t>
        </is>
      </c>
    </row>
    <row r="907" customFormat="1" s="1">
      <c r="A907" s="6" t="n">
        <v>503</v>
      </c>
      <c r="B907" s="145" t="n">
        <v>109</v>
      </c>
      <c r="C907" s="146" t="n">
        <v>1</v>
      </c>
      <c r="D907" s="7" t="n">
        <v>7</v>
      </c>
      <c r="E907" s="6" t="inlineStr">
        <is>
          <t>가설공사</t>
        </is>
      </c>
      <c r="F907" s="8" t="inlineStr">
        <is>
          <t>오일러좌굴하중</t>
        </is>
      </c>
      <c r="G907" s="24" t="inlineStr">
        <is>
          <t>오일러(Euler) 좌굴하중 및 유효좌굴길이</t>
        </is>
      </c>
    </row>
    <row r="908" customFormat="1" s="1">
      <c r="A908" s="6" t="n">
        <v>504</v>
      </c>
      <c r="B908" s="145" t="n">
        <v>109</v>
      </c>
      <c r="C908" s="146" t="n">
        <v>1</v>
      </c>
      <c r="D908" s="7" t="n">
        <v>8</v>
      </c>
      <c r="E908" s="6" t="inlineStr">
        <is>
          <t>산안법</t>
        </is>
      </c>
      <c r="F908" s="8" t="inlineStr">
        <is>
          <t>물질안전보건자료</t>
        </is>
      </c>
      <c r="G908" s="24" t="inlineStr">
        <is>
          <t>물질안전보건자료(MSDS)</t>
        </is>
      </c>
    </row>
    <row r="909" customFormat="1" s="1">
      <c r="A909" s="6" t="n">
        <v>505</v>
      </c>
      <c r="B909" s="145" t="n">
        <v>109</v>
      </c>
      <c r="C909" s="146" t="n">
        <v>1</v>
      </c>
      <c r="D909" s="7" t="n">
        <v>9</v>
      </c>
      <c r="E909" s="6" t="inlineStr">
        <is>
          <t>산안법</t>
        </is>
      </c>
      <c r="F909" s="8" t="inlineStr">
        <is>
          <t>작업적 위험</t>
        </is>
      </c>
      <c r="G909" s="24" t="inlineStr">
        <is>
          <t>산업안전보건법의 안전조치 기준 중 ‘작업적 위험’</t>
        </is>
      </c>
    </row>
    <row r="910" customFormat="1" s="1">
      <c r="A910" s="6" t="n">
        <v>506</v>
      </c>
      <c r="B910" s="145" t="n">
        <v>109</v>
      </c>
      <c r="C910" s="146" t="n">
        <v>1</v>
      </c>
      <c r="D910" s="7" t="n">
        <v>10</v>
      </c>
      <c r="E910" s="6" t="inlineStr">
        <is>
          <t>콘크리트</t>
        </is>
      </c>
      <c r="F910" s="8" t="inlineStr">
        <is>
          <t>염해 내구성허용기준</t>
        </is>
      </c>
      <c r="G910" s="24" t="inlineStr">
        <is>
          <t>염해에 대한 콘크리트 내구성 허용기준</t>
        </is>
      </c>
    </row>
    <row r="911" customFormat="1" s="1">
      <c r="A911" s="6" t="n">
        <v>507</v>
      </c>
      <c r="B911" s="145" t="n">
        <v>109</v>
      </c>
      <c r="C911" s="146" t="n">
        <v>1</v>
      </c>
      <c r="D911" s="7" t="n">
        <v>11</v>
      </c>
      <c r="E911" s="6" t="inlineStr">
        <is>
          <t>강재</t>
        </is>
      </c>
      <c r="F911" s="8" t="inlineStr">
        <is>
          <t>강재의 저온균열</t>
        </is>
      </c>
      <c r="G911" s="24" t="inlineStr">
        <is>
          <t>강재의 저온균열, 고온균열</t>
        </is>
      </c>
    </row>
    <row r="912" customFormat="1" s="1">
      <c r="A912" s="6" t="n">
        <v>508</v>
      </c>
      <c r="B912" s="145" t="n">
        <v>109</v>
      </c>
      <c r="C912" s="146" t="n">
        <v>1</v>
      </c>
      <c r="D912" s="7" t="n">
        <v>12</v>
      </c>
      <c r="E912" s="6" t="inlineStr">
        <is>
          <t>안전관리론</t>
        </is>
      </c>
      <c r="F912" s="8" t="inlineStr">
        <is>
          <t>시스템안전</t>
        </is>
      </c>
      <c r="G912" s="24" t="inlineStr">
        <is>
          <t>ETA(Event Tree Analysis : 사건수 분석기법)</t>
        </is>
      </c>
    </row>
    <row r="913" customFormat="1" s="1">
      <c r="A913" s="6" t="n">
        <v>509</v>
      </c>
      <c r="B913" s="145" t="n">
        <v>109</v>
      </c>
      <c r="C913" s="146" t="n">
        <v>1</v>
      </c>
      <c r="D913" s="7" t="n">
        <v>13</v>
      </c>
      <c r="E913" s="6" t="inlineStr">
        <is>
          <t>시설물안전법</t>
        </is>
      </c>
      <c r="F913" s="8" t="inlineStr">
        <is>
          <t>안전점검시 콘크리트 구조물 내구성시험</t>
        </is>
      </c>
      <c r="G913" s="24" t="inlineStr">
        <is>
          <t>안전점검시 콘크리트 구조물의 내구성시험</t>
        </is>
      </c>
    </row>
    <row r="914" customFormat="1" s="1">
      <c r="A914" s="6" t="n">
        <v>510</v>
      </c>
      <c r="B914" s="145" t="n">
        <v>109</v>
      </c>
      <c r="C914" s="146" t="n">
        <v>2</v>
      </c>
      <c r="D914" s="7" t="n">
        <v>1</v>
      </c>
      <c r="E914" s="6" t="inlineStr">
        <is>
          <t>안전관리론</t>
        </is>
      </c>
      <c r="F914" s="8" t="inlineStr">
        <is>
          <t>건설현장 안전관리 대책</t>
        </is>
      </c>
      <c r="G914" s="24" t="inlineStr">
        <is>
          <t>건설현장 안전관리의 문제점과 재해발생요인 및 감소대책(개선사항)을 설명하시오.</t>
        </is>
      </c>
    </row>
    <row r="915" customFormat="1" s="1">
      <c r="A915" s="6" t="n">
        <v>511</v>
      </c>
      <c r="B915" s="145" t="n">
        <v>109</v>
      </c>
      <c r="C915" s="146" t="n">
        <v>2</v>
      </c>
      <c r="D915" s="7" t="n">
        <v>2</v>
      </c>
      <c r="E915" s="6" t="inlineStr">
        <is>
          <t>건진법</t>
        </is>
      </c>
      <c r="F915" s="8" t="inlineStr">
        <is>
          <t>안전점검</t>
        </is>
      </c>
      <c r="G915" s="24" t="inlineStr">
        <is>
          <t>건설기술진흥법상 건설공사 안전점검의 종류 및 실시방법에 대하여 설명하시오.</t>
        </is>
      </c>
    </row>
    <row r="916" customFormat="1" s="1">
      <c r="A916" s="6" t="n">
        <v>512</v>
      </c>
      <c r="B916" s="145" t="n">
        <v>109</v>
      </c>
      <c r="C916" s="146" t="n">
        <v>2</v>
      </c>
      <c r="D916" s="7" t="n">
        <v>3</v>
      </c>
      <c r="E916" s="6" t="inlineStr">
        <is>
          <t>가설공사</t>
        </is>
      </c>
      <c r="F916" s="8" t="inlineStr">
        <is>
          <t>강관비계</t>
        </is>
      </c>
      <c r="G916" s="24" t="inlineStr">
        <is>
          <t>외부 강관비계에 작용하는 하중과 설치기준을 설명하시오.</t>
        </is>
      </c>
    </row>
    <row r="917" customFormat="1" s="1">
      <c r="A917" s="6" t="n">
        <v>513</v>
      </c>
      <c r="B917" s="145" t="n">
        <v>109</v>
      </c>
      <c r="C917" s="146" t="n">
        <v>2</v>
      </c>
      <c r="D917" s="7" t="n">
        <v>4</v>
      </c>
      <c r="E917" s="6" t="inlineStr">
        <is>
          <t>토공</t>
        </is>
      </c>
      <c r="F917" s="8" t="inlineStr">
        <is>
          <t>소일네일링공법</t>
        </is>
      </c>
      <c r="G917" s="24" t="inlineStr">
        <is>
          <t>소일네일링공법(Soil Nailing Method)의 시공대상과 방법 및 안전대책에 대하여 기술하시오.</t>
        </is>
      </c>
    </row>
    <row r="918" ht="33" customFormat="1" customHeight="1" s="1">
      <c r="A918" s="6" t="n">
        <v>514</v>
      </c>
      <c r="B918" s="145" t="n">
        <v>109</v>
      </c>
      <c r="C918" s="146" t="n">
        <v>2</v>
      </c>
      <c r="D918" s="7" t="n">
        <v>5</v>
      </c>
      <c r="E918" s="6" t="inlineStr">
        <is>
          <t>토공</t>
        </is>
      </c>
      <c r="F918" s="8" t="inlineStr">
        <is>
          <t>사면안정</t>
        </is>
      </c>
      <c r="G918" s="24" t="inlineStr">
        <is>
          <t>공용중인 도로와 인접한 비탈사면에서의 불안정 요인과 사면붕괴를 사전에 감지하고 인명피해를 최소화하기 위한 예방적 안전대책을 설명하시오.</t>
        </is>
      </c>
    </row>
    <row r="919" customFormat="1" s="1">
      <c r="A919" s="6" t="n">
        <v>515</v>
      </c>
      <c r="B919" s="145" t="n">
        <v>109</v>
      </c>
      <c r="C919" s="146" t="n">
        <v>2</v>
      </c>
      <c r="D919" s="7" t="n">
        <v>6</v>
      </c>
      <c r="E919" s="6" t="inlineStr">
        <is>
          <t>강재</t>
        </is>
      </c>
      <c r="F919" s="8" t="inlineStr">
        <is>
          <t>강관파일기초 부식방지</t>
        </is>
      </c>
      <c r="G919" s="24" t="inlineStr">
        <is>
          <t>해상에 건설된 교량의 수중부 강관파일 기초에 대하여 부식방지대책을 설명하시오.</t>
        </is>
      </c>
    </row>
    <row r="920" ht="33" customFormat="1" customHeight="1" s="1">
      <c r="A920" s="6" t="n">
        <v>516</v>
      </c>
      <c r="B920" s="145" t="n">
        <v>109</v>
      </c>
      <c r="C920" s="146" t="n">
        <v>3</v>
      </c>
      <c r="D920" s="7" t="n">
        <v>1</v>
      </c>
      <c r="E920" s="6" t="inlineStr">
        <is>
          <t>기초</t>
        </is>
      </c>
      <c r="F920" s="8" t="inlineStr">
        <is>
          <t>굴착공사_도심지 인접구조물 균열</t>
        </is>
      </c>
      <c r="G920" s="24" t="inlineStr">
        <is>
          <t>도심지 지하굴착공사 시 토류벽 배면의 누수로 인하여 인접건물에 없던 균열․침하․기울어짐 현상이 발생하였다. 발생원인 및 안전대책에 대하여 설명하시오.</t>
        </is>
      </c>
    </row>
    <row r="921" customFormat="1" s="1">
      <c r="A921" s="6" t="n">
        <v>517</v>
      </c>
      <c r="B921" s="145" t="n">
        <v>109</v>
      </c>
      <c r="C921" s="146" t="n">
        <v>3</v>
      </c>
      <c r="D921" s="7" t="n">
        <v>2</v>
      </c>
      <c r="E921" s="6" t="inlineStr">
        <is>
          <t>건설기계</t>
        </is>
      </c>
      <c r="F921" s="8" t="inlineStr">
        <is>
          <t>이동식 크레인</t>
        </is>
      </c>
      <c r="G921" s="24" t="inlineStr">
        <is>
          <t>이동식크레인 작업 시 예상되는 재해유형과 원인 및 안전대책을 설명하시오.</t>
        </is>
      </c>
    </row>
    <row r="922" customFormat="1" s="1">
      <c r="A922" s="6" t="n">
        <v>518</v>
      </c>
      <c r="B922" s="145" t="n">
        <v>109</v>
      </c>
      <c r="C922" s="146" t="n">
        <v>3</v>
      </c>
      <c r="D922" s="7" t="n">
        <v>3</v>
      </c>
      <c r="E922" s="6" t="inlineStr">
        <is>
          <t>콘크리트</t>
        </is>
      </c>
      <c r="F922" s="8" t="inlineStr">
        <is>
          <t>철근이음 커플러</t>
        </is>
      </c>
      <c r="G922" s="24" t="inlineStr">
        <is>
          <t>철근의 이음(길이, 위치, 공법종류, 주의사항)과 Coupler이음에 대하여 구체적으로 설명하시오.</t>
        </is>
      </c>
    </row>
    <row r="923" customFormat="1" s="1">
      <c r="A923" s="6" t="n">
        <v>519</v>
      </c>
      <c r="B923" s="145" t="n">
        <v>109</v>
      </c>
      <c r="C923" s="146" t="n">
        <v>3</v>
      </c>
      <c r="D923" s="7" t="n">
        <v>4</v>
      </c>
      <c r="E923" s="6" t="inlineStr">
        <is>
          <t>기초</t>
        </is>
      </c>
      <c r="F923" s="8" t="inlineStr">
        <is>
          <t>부마찰력</t>
        </is>
      </c>
      <c r="G923" s="24" t="inlineStr">
        <is>
          <t>지지말뚝의 부마찰력이 발생하여 구조물에 균열이 발생했다. 원인과 방지대책을 설명하시오.</t>
        </is>
      </c>
    </row>
    <row r="924" ht="66" customFormat="1" customHeight="1" s="1">
      <c r="A924" s="6" t="n">
        <v>520</v>
      </c>
      <c r="B924" s="145" t="n">
        <v>109</v>
      </c>
      <c r="C924" s="146" t="n">
        <v>3</v>
      </c>
      <c r="D924" s="7" t="n">
        <v>5</v>
      </c>
      <c r="E924" s="6" t="inlineStr">
        <is>
          <t>시설물안전법</t>
        </is>
      </c>
      <c r="F924" s="8" t="inlineStr">
        <is>
          <t>1종 안전점검 정밀안전진단</t>
        </is>
      </c>
      <c r="G924" s="24" t="inlineStr">
        <is>
          <t>시설물의 안전관리에 관한 특별법에 관한 다음 항목에 대하여 설명하시오. 
1) 1종 시설물 
2) 안전점검 및 정밀안전진단 실시주기 
3) 시설물정보관리종합시스템(FMS : Facility Management System)</t>
        </is>
      </c>
    </row>
    <row r="925" customFormat="1" s="1">
      <c r="A925" s="6" t="n">
        <v>521</v>
      </c>
      <c r="B925" s="145" t="n">
        <v>109</v>
      </c>
      <c r="C925" s="146" t="n">
        <v>3</v>
      </c>
      <c r="D925" s="7" t="n">
        <v>6</v>
      </c>
      <c r="E925" s="6" t="inlineStr">
        <is>
          <t>재해유형</t>
        </is>
      </c>
      <c r="F925" s="8" t="inlineStr">
        <is>
          <t>피뢰설비</t>
        </is>
      </c>
      <c r="G925" s="24" t="inlineStr">
        <is>
          <t>피뢰설비의 조건 및 설치기준을 설명하시오.</t>
        </is>
      </c>
    </row>
    <row r="926" customFormat="1" s="1">
      <c r="A926" s="6" t="n">
        <v>522</v>
      </c>
      <c r="B926" s="145" t="n">
        <v>109</v>
      </c>
      <c r="C926" s="146" t="n">
        <v>4</v>
      </c>
      <c r="D926" s="7" t="n">
        <v>1</v>
      </c>
      <c r="E926" s="6" t="inlineStr">
        <is>
          <t>재해유형</t>
        </is>
      </c>
      <c r="F926" s="8" t="inlineStr">
        <is>
          <t>전기재해</t>
        </is>
      </c>
      <c r="G926" s="24" t="inlineStr">
        <is>
          <t>건설현장에서 발생하는 전기화재의 발생원인 및 예방대책을 설명하시오.</t>
        </is>
      </c>
    </row>
    <row r="927" customFormat="1" s="1">
      <c r="A927" s="6" t="n">
        <v>523</v>
      </c>
      <c r="B927" s="145" t="n">
        <v>109</v>
      </c>
      <c r="C927" s="146" t="n">
        <v>4</v>
      </c>
      <c r="D927" s="7" t="n">
        <v>2</v>
      </c>
      <c r="E927" s="6" t="inlineStr">
        <is>
          <t>터널</t>
        </is>
      </c>
      <c r="F927" s="8" t="inlineStr">
        <is>
          <t>보조공법</t>
        </is>
      </c>
      <c r="G927" s="24" t="inlineStr">
        <is>
          <t>터널 막장면의 안정을 위한 굴착보조공법을 설명하시오.</t>
        </is>
      </c>
    </row>
    <row r="928" ht="33" customFormat="1" customHeight="1" s="1">
      <c r="A928" s="6" t="n">
        <v>524</v>
      </c>
      <c r="B928" s="145" t="n">
        <v>109</v>
      </c>
      <c r="C928" s="146" t="n">
        <v>4</v>
      </c>
      <c r="D928" s="7" t="n">
        <v>3</v>
      </c>
      <c r="E928" s="6" t="inlineStr">
        <is>
          <t>해체공사</t>
        </is>
      </c>
      <c r="F928" s="8" t="inlineStr">
        <is>
          <t>도심지 재개발 해체</t>
        </is>
      </c>
      <c r="G928" s="24" t="inlineStr">
        <is>
          <t>도심지 재개발 건축현장의 건축 구조물을 해체하고자 한다. 해체공법의 종류별 특징과 공법선정 시 고려사항 및 안전대책에 대하여 기술하시오.</t>
        </is>
      </c>
    </row>
    <row r="929" ht="165" customFormat="1" customHeight="1" s="1">
      <c r="A929" s="6" t="n">
        <v>525</v>
      </c>
      <c r="B929" s="145" t="n">
        <v>109</v>
      </c>
      <c r="C929" s="146" t="n">
        <v>4</v>
      </c>
      <c r="D929" s="7" t="n">
        <v>4</v>
      </c>
      <c r="E929" s="6" t="inlineStr">
        <is>
          <t>산안법</t>
        </is>
      </c>
      <c r="F929" s="8" t="inlineStr">
        <is>
          <t>위험성 평가</t>
        </is>
      </c>
      <c r="G929" s="24" t="inlineStr">
        <is>
          <t>다음 건축현장의 상황을 고려하여 위험성평가를 실시하시오. 
- 위험성평가의 정의 및 절차 
- 공종분류 및 위험요인을 파악, 핵심위험요인의 개선대책을 제시 
【 현장설명 】 
- 공사종류 : 공사금액 40억원, 12층 빌딩 신축공사 
- 작업종류 : 건축마감공사 
- 위험성 평가시기 : 해당 작업 직전일 
- 평가 대상작업 : 골조공사 완료 후 고소작업대(차) 위에서 외부 창호작업 
- 상황설명 : 연약지반에 설치된 고소작업대(차)에 작업자 2명이 탑승하여 지상 9층높이에서 외부 창호작업 실시(근로자 사전 교육 미실시)</t>
        </is>
      </c>
    </row>
    <row r="930" customFormat="1" s="1">
      <c r="A930" s="6" t="n">
        <v>526</v>
      </c>
      <c r="B930" s="145" t="n">
        <v>109</v>
      </c>
      <c r="C930" s="146" t="n">
        <v>4</v>
      </c>
      <c r="D930" s="7" t="n">
        <v>5</v>
      </c>
      <c r="E930" s="6" t="inlineStr">
        <is>
          <t>산안법</t>
        </is>
      </c>
      <c r="F930" s="8" t="inlineStr">
        <is>
          <t>KOSHA18001</t>
        </is>
      </c>
      <c r="G930" s="24" t="inlineStr">
        <is>
          <t>건설업 안전보건경영시스템의 적용범위 및 인증절차와 취소조건을 설명하시오.</t>
        </is>
      </c>
    </row>
    <row r="931" ht="33" customFormat="1" customHeight="1" s="1">
      <c r="A931" s="6" t="n">
        <v>527</v>
      </c>
      <c r="B931" s="145" t="n">
        <v>109</v>
      </c>
      <c r="C931" s="146" t="n">
        <v>4</v>
      </c>
      <c r="D931" s="7" t="n">
        <v>6</v>
      </c>
      <c r="E931" s="6" t="inlineStr">
        <is>
          <t>시설물안전법</t>
        </is>
      </c>
      <c r="F931" s="8" t="inlineStr">
        <is>
          <t>교량 상시 계측시스템</t>
        </is>
      </c>
      <c r="G931" s="24" t="inlineStr">
        <is>
          <t>공용중인 장대 케이블교량의 안전성 분석을 위한 상시 교량계측시스템(BHMS : Bridge Health Monitoring System)에 대하여 설명하시오.</t>
        </is>
      </c>
    </row>
    <row r="932" customFormat="1" s="1">
      <c r="A932" s="6" t="n">
        <v>528</v>
      </c>
      <c r="B932" s="145" t="n">
        <v>108</v>
      </c>
      <c r="C932" s="146" t="n">
        <v>1</v>
      </c>
      <c r="D932" s="7" t="n">
        <v>1</v>
      </c>
      <c r="E932" s="6" t="inlineStr">
        <is>
          <t>토공</t>
        </is>
      </c>
      <c r="F932" s="8" t="inlineStr">
        <is>
          <t>흙의 전단강도</t>
        </is>
      </c>
      <c r="G932" s="24" t="inlineStr">
        <is>
          <t>흙의 전단강도 측정방법</t>
        </is>
      </c>
    </row>
    <row r="933" customFormat="1" s="1">
      <c r="A933" s="6" t="n">
        <v>529</v>
      </c>
      <c r="B933" s="145" t="n">
        <v>108</v>
      </c>
      <c r="C933" s="146" t="n">
        <v>1</v>
      </c>
      <c r="D933" s="7" t="n">
        <v>2</v>
      </c>
      <c r="E933" s="6" t="inlineStr">
        <is>
          <t>산안법</t>
        </is>
      </c>
      <c r="F933" s="8" t="inlineStr">
        <is>
          <t>양중기 종류</t>
        </is>
      </c>
      <c r="G933" s="24" t="inlineStr">
        <is>
          <t>산업안전보건법상 양중기의 종류 및 관리 SYSTEM</t>
        </is>
      </c>
    </row>
    <row r="934" customFormat="1" s="1">
      <c r="A934" s="6" t="n">
        <v>530</v>
      </c>
      <c r="B934" s="145" t="n">
        <v>108</v>
      </c>
      <c r="C934" s="146" t="n">
        <v>1</v>
      </c>
      <c r="D934" s="7" t="n">
        <v>3</v>
      </c>
      <c r="E934" s="6" t="inlineStr">
        <is>
          <t>시설물안전법</t>
        </is>
      </c>
      <c r="F934" s="8" t="inlineStr">
        <is>
          <t>2종 시설물</t>
        </is>
      </c>
      <c r="G934" s="24" t="inlineStr">
        <is>
          <t>시설물의 안전관리에 관한 특별법상 건축물 2종 시설물의 범위와 시설물의 정기점검 실시 시기</t>
        </is>
      </c>
    </row>
    <row r="935" customFormat="1" s="1">
      <c r="A935" s="6" t="n">
        <v>531</v>
      </c>
      <c r="B935" s="145" t="n">
        <v>108</v>
      </c>
      <c r="C935" s="146" t="n">
        <v>1</v>
      </c>
      <c r="D935" s="7" t="n">
        <v>4</v>
      </c>
      <c r="E935" s="6" t="inlineStr">
        <is>
          <t>건축</t>
        </is>
      </c>
      <c r="F935" s="8" t="inlineStr">
        <is>
          <t>기둥축소현상</t>
        </is>
      </c>
      <c r="G935" s="24" t="inlineStr">
        <is>
          <t>철골기둥 부동축소 현상(Column Shortening)</t>
        </is>
      </c>
    </row>
    <row r="936" customFormat="1" s="1">
      <c r="A936" s="6" t="n">
        <v>532</v>
      </c>
      <c r="B936" s="145" t="n">
        <v>108</v>
      </c>
      <c r="C936" s="146" t="n">
        <v>1</v>
      </c>
      <c r="D936" s="7" t="n">
        <v>5</v>
      </c>
      <c r="E936" s="6" t="inlineStr">
        <is>
          <t>교량</t>
        </is>
      </c>
      <c r="F936" s="8" t="inlineStr">
        <is>
          <t>합성형거더</t>
        </is>
      </c>
      <c r="G936" s="24" t="inlineStr">
        <is>
          <t>합성형 거더(Composite Girder)</t>
        </is>
      </c>
    </row>
    <row r="937" customFormat="1" s="1">
      <c r="A937" s="6" t="n">
        <v>533</v>
      </c>
      <c r="B937" s="145" t="n">
        <v>108</v>
      </c>
      <c r="C937" s="146" t="n">
        <v>1</v>
      </c>
      <c r="D937" s="7" t="n">
        <v>6</v>
      </c>
      <c r="E937" s="6" t="inlineStr">
        <is>
          <t>지진</t>
        </is>
      </c>
      <c r="F937" s="8" t="inlineStr">
        <is>
          <t>내진 면진 제진</t>
        </is>
      </c>
      <c r="G937" s="24" t="inlineStr">
        <is>
          <t>건축 및 토목 구조물의 내진, 면진, 제진의 구분</t>
        </is>
      </c>
    </row>
    <row r="938" customFormat="1" s="1">
      <c r="A938" s="6" t="n">
        <v>534</v>
      </c>
      <c r="B938" s="145" t="n">
        <v>108</v>
      </c>
      <c r="C938" s="146" t="n">
        <v>1</v>
      </c>
      <c r="D938" s="7" t="n">
        <v>7</v>
      </c>
      <c r="E938" s="6" t="inlineStr">
        <is>
          <t>건설기계</t>
        </is>
      </c>
      <c r="F938" s="8" t="inlineStr">
        <is>
          <t>항타기 항발기</t>
        </is>
      </c>
      <c r="G938" s="24" t="inlineStr">
        <is>
          <t>항타기, 항발기 조립시 점검사항 및 전도 방지조치와 와이어로프의 사용금지기준</t>
        </is>
      </c>
    </row>
    <row r="939" customFormat="1" s="1">
      <c r="A939" s="6" t="n">
        <v>535</v>
      </c>
      <c r="B939" s="145" t="n">
        <v>108</v>
      </c>
      <c r="C939" s="146" t="n">
        <v>1</v>
      </c>
      <c r="D939" s="7" t="n">
        <v>8</v>
      </c>
      <c r="E939" s="6" t="inlineStr">
        <is>
          <t>가설공사</t>
        </is>
      </c>
      <c r="F939" s="8" t="inlineStr">
        <is>
          <t>가설재 구조적특징 점검항목</t>
        </is>
      </c>
      <c r="G939" s="24" t="inlineStr">
        <is>
          <t>건설현장 가설재의 구조적 특징, 보수시기, 점검항목</t>
        </is>
      </c>
    </row>
    <row r="940" customFormat="1" s="1">
      <c r="A940" s="6" t="n">
        <v>536</v>
      </c>
      <c r="B940" s="145" t="n">
        <v>108</v>
      </c>
      <c r="C940" s="146" t="n">
        <v>1</v>
      </c>
      <c r="D940" s="7" t="n">
        <v>9</v>
      </c>
      <c r="E940" s="6" t="inlineStr">
        <is>
          <t>안전관리론</t>
        </is>
      </c>
      <c r="F940" s="8" t="inlineStr">
        <is>
          <t>안전관리이론_3E</t>
        </is>
      </c>
      <c r="G940" s="24" t="inlineStr">
        <is>
          <t>재해의 직접원인과 간접원인(3E)</t>
        </is>
      </c>
    </row>
    <row r="941" customFormat="1" s="1">
      <c r="A941" s="6" t="n">
        <v>537</v>
      </c>
      <c r="B941" s="145" t="n">
        <v>108</v>
      </c>
      <c r="C941" s="146" t="n">
        <v>1</v>
      </c>
      <c r="D941" s="7" t="n">
        <v>10</v>
      </c>
      <c r="E941" s="6" t="inlineStr">
        <is>
          <t>콘크리트</t>
        </is>
      </c>
      <c r="F941" s="8" t="inlineStr">
        <is>
          <t>Rock Pocket</t>
        </is>
      </c>
      <c r="G941" s="24" t="inlineStr">
        <is>
          <t>Rock Pocket 현상</t>
        </is>
      </c>
    </row>
    <row r="942" customFormat="1" s="1">
      <c r="A942" s="6" t="n">
        <v>538</v>
      </c>
      <c r="B942" s="145" t="n">
        <v>108</v>
      </c>
      <c r="C942" s="146" t="n">
        <v>1</v>
      </c>
      <c r="D942" s="7" t="n">
        <v>11</v>
      </c>
      <c r="E942" s="6" t="inlineStr">
        <is>
          <t>안전관리론</t>
        </is>
      </c>
      <c r="F942" s="8" t="inlineStr">
        <is>
          <t>안전심리_피로</t>
        </is>
      </c>
      <c r="G942" s="24" t="inlineStr">
        <is>
          <t>피로현상의 5가지 원인 및 피로예방대책</t>
        </is>
      </c>
    </row>
    <row r="943" customFormat="1" s="1">
      <c r="A943" s="6" t="n">
        <v>539</v>
      </c>
      <c r="B943" s="145" t="n">
        <v>108</v>
      </c>
      <c r="C943" s="146" t="n">
        <v>1</v>
      </c>
      <c r="D943" s="7" t="n">
        <v>12</v>
      </c>
      <c r="E943" s="6" t="inlineStr">
        <is>
          <t>콘크리트</t>
        </is>
      </c>
      <c r="F943" s="8" t="inlineStr">
        <is>
          <t>복합열화</t>
        </is>
      </c>
      <c r="G943" s="24" t="inlineStr">
        <is>
          <t>복합열화</t>
        </is>
      </c>
    </row>
    <row r="944" customFormat="1" s="1">
      <c r="A944" s="6" t="n">
        <v>540</v>
      </c>
      <c r="B944" s="145" t="n">
        <v>108</v>
      </c>
      <c r="C944" s="146" t="n">
        <v>1</v>
      </c>
      <c r="D944" s="7" t="n">
        <v>13</v>
      </c>
      <c r="E944" s="6" t="inlineStr">
        <is>
          <t>터널</t>
        </is>
      </c>
      <c r="F944" s="8" t="inlineStr">
        <is>
          <t>편토압</t>
        </is>
      </c>
      <c r="G944" s="24" t="inlineStr">
        <is>
          <t>터널 시공시 편압 발생대책</t>
        </is>
      </c>
    </row>
    <row r="945" customFormat="1" s="1">
      <c r="A945" s="6" t="n">
        <v>541</v>
      </c>
      <c r="B945" s="145" t="n">
        <v>108</v>
      </c>
      <c r="C945" s="146" t="n">
        <v>2</v>
      </c>
      <c r="D945" s="7" t="n">
        <v>1</v>
      </c>
      <c r="E945" s="6" t="inlineStr">
        <is>
          <t>재해유형</t>
        </is>
      </c>
      <c r="F945" s="8" t="inlineStr">
        <is>
          <t>밀폐공간</t>
        </is>
      </c>
      <c r="G945" s="24" t="inlineStr">
        <is>
          <t>건설현장의 밀폐 공간 작업시 재해 발생원인 및 안전대책에 대하여 설명하시오.</t>
        </is>
      </c>
    </row>
    <row r="946" ht="33" customFormat="1" customHeight="1" s="1">
      <c r="A946" s="6" t="n">
        <v>542</v>
      </c>
      <c r="B946" s="145" t="n">
        <v>108</v>
      </c>
      <c r="C946" s="146" t="n">
        <v>2</v>
      </c>
      <c r="D946" s="7" t="n">
        <v>2</v>
      </c>
      <c r="E946" s="6" t="inlineStr">
        <is>
          <t>강재</t>
        </is>
      </c>
      <c r="F946" s="8" t="inlineStr">
        <is>
          <t>강재부식_상수도 관로</t>
        </is>
      </c>
      <c r="G946" s="24" t="inlineStr">
        <is>
          <t>상수도 매설공사 현장의 금속재 지중매설 관로에서 발생할 수 있는 부식의 종류와 부식에 영향을 미치는 요소 및 금속 강관류 부식억제 방법에 대하여 설명하시오.</t>
        </is>
      </c>
    </row>
    <row r="947" customFormat="1" s="1">
      <c r="A947" s="6" t="n">
        <v>543</v>
      </c>
      <c r="B947" s="145" t="n">
        <v>108</v>
      </c>
      <c r="C947" s="146" t="n">
        <v>2</v>
      </c>
      <c r="D947" s="7" t="n">
        <v>3</v>
      </c>
      <c r="E947" s="6" t="inlineStr">
        <is>
          <t>기초</t>
        </is>
      </c>
      <c r="F947" s="8" t="inlineStr">
        <is>
          <t>부력 양압력 부상</t>
        </is>
      </c>
      <c r="G947" s="24" t="inlineStr">
        <is>
          <t>공사 중 발생될 수 있는 지하구조물의 부상요인과 그 안전대책에 대하여 설명하시오.</t>
        </is>
      </c>
    </row>
    <row r="948" ht="33" customFormat="1" customHeight="1" s="1">
      <c r="A948" s="6" t="n">
        <v>544</v>
      </c>
      <c r="B948" s="145" t="n">
        <v>108</v>
      </c>
      <c r="C948" s="146" t="n">
        <v>2</v>
      </c>
      <c r="D948" s="7" t="n">
        <v>4</v>
      </c>
      <c r="E948" s="6" t="inlineStr">
        <is>
          <t>시설물안전법</t>
        </is>
      </c>
      <c r="F948" s="8" t="inlineStr">
        <is>
          <t>정전기 재해발생</t>
        </is>
      </c>
      <c r="G948" s="24" t="inlineStr">
        <is>
          <t>건설현장에서 정전기로 인한 재해발생 원인, 정전기 발생에 영향을 주는 조건 및 정전기에 의한 사고 방지대책에 대하여 설명하시오.</t>
        </is>
      </c>
    </row>
    <row r="949" customFormat="1" s="1">
      <c r="A949" s="6" t="n">
        <v>545</v>
      </c>
      <c r="B949" s="145" t="n">
        <v>108</v>
      </c>
      <c r="C949" s="146" t="n">
        <v>2</v>
      </c>
      <c r="D949" s="7" t="n">
        <v>5</v>
      </c>
      <c r="E949" s="6" t="inlineStr">
        <is>
          <t>기초</t>
        </is>
      </c>
      <c r="F949" s="8" t="inlineStr">
        <is>
          <t>보강토옹벽</t>
        </is>
      </c>
      <c r="G949" s="24" t="inlineStr">
        <is>
          <t>보강토 옹벽의 구성요소와 뒷채움재의 조건 및 보강성토 사면의 파괴양상에 대하여 설명하시오.</t>
        </is>
      </c>
    </row>
    <row r="950" ht="33" customFormat="1" customHeight="1" s="1">
      <c r="A950" s="6" t="n">
        <v>546</v>
      </c>
      <c r="B950" s="145" t="n">
        <v>108</v>
      </c>
      <c r="C950" s="146" t="n">
        <v>2</v>
      </c>
      <c r="D950" s="7" t="n">
        <v>6</v>
      </c>
      <c r="E950" s="6" t="inlineStr">
        <is>
          <t>토공</t>
        </is>
      </c>
      <c r="F950" s="8" t="inlineStr">
        <is>
          <t>토석류</t>
        </is>
      </c>
      <c r="G950" s="24" t="inlineStr">
        <is>
          <t>국지성 강우에 의한 도로 및 주거지에서 토석류의 발생유형을 설명하고, 문제점 및 대책에 대하여 설명하시오.</t>
        </is>
      </c>
    </row>
    <row r="951" ht="33" customFormat="1" customHeight="1" s="1">
      <c r="A951" s="6" t="n">
        <v>547</v>
      </c>
      <c r="B951" s="145" t="n">
        <v>108</v>
      </c>
      <c r="C951" s="146" t="n">
        <v>3</v>
      </c>
      <c r="D951" s="7" t="n">
        <v>1</v>
      </c>
      <c r="E951" s="6" t="inlineStr">
        <is>
          <t>콘크리트</t>
        </is>
      </c>
      <c r="F951" s="8" t="inlineStr">
        <is>
          <t>폭열현상 화재피해</t>
        </is>
      </c>
      <c r="G951" s="24" t="inlineStr">
        <is>
          <t>고강도 콘크리트의 폭열현상 발생 메커니즘과 방지대책 및 화재피해정도를 측정하는 방법에 대하여 설명하시오.</t>
        </is>
      </c>
    </row>
    <row r="952" ht="33" customFormat="1" customHeight="1" s="1">
      <c r="A952" s="6" t="n">
        <v>548</v>
      </c>
      <c r="B952" s="145" t="n">
        <v>108</v>
      </c>
      <c r="C952" s="146" t="n">
        <v>3</v>
      </c>
      <c r="D952" s="7" t="n">
        <v>2</v>
      </c>
      <c r="E952" s="6" t="inlineStr">
        <is>
          <t>산안법</t>
        </is>
      </c>
      <c r="F952" s="8" t="inlineStr">
        <is>
          <t>위험성 평가</t>
        </is>
      </c>
      <c r="G952" s="24" t="inlineStr">
        <is>
          <t>지상59층 건축물, 지하6층 건설현장의 위험성 평가 모델 중 지하층 굴착공사시 유해 위험요인과 안전보건대책에 대하여 설명하시오.</t>
        </is>
      </c>
    </row>
    <row r="953" customFormat="1" s="1">
      <c r="A953" s="6" t="n">
        <v>549</v>
      </c>
      <c r="B953" s="145" t="n">
        <v>108</v>
      </c>
      <c r="C953" s="146" t="n">
        <v>3</v>
      </c>
      <c r="D953" s="7" t="n">
        <v>3</v>
      </c>
      <c r="E953" s="6" t="inlineStr">
        <is>
          <t>콘크리트</t>
        </is>
      </c>
      <c r="F953" s="8" t="inlineStr">
        <is>
          <t>거푸집_측압</t>
        </is>
      </c>
      <c r="G953" s="24" t="inlineStr">
        <is>
          <t>콘크리트 타설시 거푸집 측압에 영향을 주는 요소를 설명하시오.</t>
        </is>
      </c>
    </row>
    <row r="954" ht="33" customFormat="1" customHeight="1" s="1">
      <c r="A954" s="6" t="n">
        <v>550</v>
      </c>
      <c r="B954" s="145" t="n">
        <v>108</v>
      </c>
      <c r="C954" s="146" t="n">
        <v>3</v>
      </c>
      <c r="D954" s="7" t="n">
        <v>4</v>
      </c>
      <c r="E954" s="6" t="inlineStr">
        <is>
          <t>기초</t>
        </is>
      </c>
      <c r="F954" s="8" t="inlineStr">
        <is>
          <t>굴착공사_계측</t>
        </is>
      </c>
      <c r="G954" s="24" t="inlineStr">
        <is>
          <t>도심지 지상25층, 지하5층 굴착현장에 지하1층, 지상5층, 3개동, 지상33층, 지하6층의 건물이 인접해 있다. 주변환경을 고려한 계측항목, 계측빈도, 계측시 유의사항에 대하여 설명하시오.</t>
        </is>
      </c>
    </row>
    <row r="955" customFormat="1" s="1">
      <c r="A955" s="6" t="n">
        <v>551</v>
      </c>
      <c r="B955" s="145" t="n">
        <v>108</v>
      </c>
      <c r="C955" s="146" t="n">
        <v>3</v>
      </c>
      <c r="D955" s="7" t="n">
        <v>5</v>
      </c>
      <c r="E955" s="6" t="inlineStr">
        <is>
          <t>시설물안전법</t>
        </is>
      </c>
      <c r="F955" s="8" t="inlineStr">
        <is>
          <t>터널안전진단 주요결함 대책</t>
        </is>
      </c>
      <c r="G955" s="24" t="inlineStr">
        <is>
          <t>터널의 구조물 안전진단시 발생되는 주요 결함내용과 손상원인 및 보수대책에 대하여 설명하시오.</t>
        </is>
      </c>
    </row>
    <row r="956" customFormat="1" s="1">
      <c r="A956" s="6" t="n">
        <v>552</v>
      </c>
      <c r="B956" s="145" t="n">
        <v>108</v>
      </c>
      <c r="C956" s="146" t="n">
        <v>3</v>
      </c>
      <c r="D956" s="7" t="n">
        <v>6</v>
      </c>
      <c r="E956" s="6" t="inlineStr">
        <is>
          <t>시설물안전법</t>
        </is>
      </c>
      <c r="F956" s="8" t="inlineStr">
        <is>
          <t>중대한 결함_세굴원인 대책</t>
        </is>
      </c>
      <c r="G956" s="24" t="inlineStr">
        <is>
          <t>하천에 시공되는 교량의 하부구조물의 세굴발생원인 및 방지대책, 조치사항에 대하여 설명하시오.</t>
        </is>
      </c>
    </row>
    <row r="957" customFormat="1" s="1">
      <c r="A957" s="6" t="n">
        <v>553</v>
      </c>
      <c r="B957" s="145" t="n">
        <v>108</v>
      </c>
      <c r="C957" s="146" t="n">
        <v>4</v>
      </c>
      <c r="D957" s="7" t="n">
        <v>1</v>
      </c>
      <c r="E957" s="6" t="inlineStr">
        <is>
          <t>강재</t>
        </is>
      </c>
      <c r="F957" s="8" t="inlineStr">
        <is>
          <t>용접 및 용단</t>
        </is>
      </c>
      <c r="G957" s="24" t="inlineStr">
        <is>
          <t>강구조물 용접시 예열의 목적과 예열시 유의사항 및 용접작업의 안전대책에 대하여 설명하시오.</t>
        </is>
      </c>
    </row>
    <row r="958" ht="33" customFormat="1" customHeight="1" s="1">
      <c r="A958" s="6" t="n">
        <v>554</v>
      </c>
      <c r="B958" s="145" t="n">
        <v>108</v>
      </c>
      <c r="C958" s="146" t="n">
        <v>4</v>
      </c>
      <c r="D958" s="7" t="n">
        <v>2</v>
      </c>
      <c r="E958" s="6" t="inlineStr">
        <is>
          <t>콘크리트</t>
        </is>
      </c>
      <c r="F958" s="8" t="inlineStr">
        <is>
          <t>피로한도 피로강도</t>
        </is>
      </c>
      <c r="G958" s="24" t="inlineStr">
        <is>
          <t>콘크리트의 피로에 관한 다음 항목에 대하여 설명하시오. - 피로한도와 피로강도 - 피로파괴 발생요인과 특징 - 현장 시공시 유의사항 및 안전대책</t>
        </is>
      </c>
    </row>
    <row r="959" customFormat="1" s="1">
      <c r="A959" s="6" t="n">
        <v>555</v>
      </c>
      <c r="B959" s="145" t="n">
        <v>108</v>
      </c>
      <c r="C959" s="146" t="n">
        <v>4</v>
      </c>
      <c r="D959" s="7" t="n">
        <v>3</v>
      </c>
      <c r="E959" s="6" t="inlineStr">
        <is>
          <t>제방 댐 항만</t>
        </is>
      </c>
      <c r="F959" s="8" t="inlineStr">
        <is>
          <t>해안 하천 매립공사 안전대책</t>
        </is>
      </c>
      <c r="G959" s="24" t="inlineStr">
        <is>
          <t>해안이나 하천지역의 매립 공사시 유의사항과 안전사고예방을 위한 대책에 대하여 설명하시오.</t>
        </is>
      </c>
    </row>
    <row r="960" customFormat="1" s="1">
      <c r="A960" s="6" t="n">
        <v>556</v>
      </c>
      <c r="B960" s="145" t="n">
        <v>108</v>
      </c>
      <c r="C960" s="146" t="n">
        <v>4</v>
      </c>
      <c r="D960" s="7" t="n">
        <v>4</v>
      </c>
      <c r="E960" s="6" t="inlineStr">
        <is>
          <t>지진</t>
        </is>
      </c>
      <c r="F960" s="8" t="inlineStr">
        <is>
          <t>내진등급 성능</t>
        </is>
      </c>
      <c r="G960" s="24" t="inlineStr">
        <is>
          <t>교량의 내진성능 평가시의 내진등급을 구분하고, 내진성능 평가방법에 대하여 설명하시오.</t>
        </is>
      </c>
    </row>
    <row r="961" customFormat="1" s="1">
      <c r="A961" s="6" t="n">
        <v>557</v>
      </c>
      <c r="B961" s="145" t="n">
        <v>108</v>
      </c>
      <c r="C961" s="146" t="n">
        <v>4</v>
      </c>
      <c r="D961" s="7" t="n">
        <v>5</v>
      </c>
      <c r="E961" s="6" t="inlineStr">
        <is>
          <t>시설물안전법</t>
        </is>
      </c>
      <c r="F961" s="8" t="inlineStr">
        <is>
          <t>터널안전진단 주요결함 대책</t>
        </is>
      </c>
      <c r="G961" s="24" t="inlineStr">
        <is>
          <t>공공의 용도로 사용중인 터널의 주요 결함 내용과 손상원인 및 보수대책에 대하여 설명하시오.</t>
        </is>
      </c>
    </row>
    <row r="962" customFormat="1" s="1">
      <c r="A962" s="6" t="n">
        <v>558</v>
      </c>
      <c r="B962" s="145" t="n">
        <v>108</v>
      </c>
      <c r="C962" s="146" t="n">
        <v>4</v>
      </c>
      <c r="D962" s="7" t="n">
        <v>6</v>
      </c>
      <c r="E962" s="6" t="inlineStr">
        <is>
          <t>제방 댐 항만</t>
        </is>
      </c>
      <c r="F962" s="8" t="inlineStr">
        <is>
          <t>방파제 설치 목적 안전대책</t>
        </is>
      </c>
      <c r="G962" s="24" t="inlineStr">
        <is>
          <t>항만공사에서 방파제의 설치목적과 시공시 유의사항 및 안전대책에 대하여 설명하시오.</t>
        </is>
      </c>
    </row>
    <row r="963" customFormat="1" s="1">
      <c r="A963" s="6" t="n">
        <v>559</v>
      </c>
      <c r="B963" s="145" t="n">
        <v>107</v>
      </c>
      <c r="C963" s="146" t="n">
        <v>1</v>
      </c>
      <c r="D963" s="7" t="n">
        <v>1</v>
      </c>
      <c r="E963" s="6" t="inlineStr">
        <is>
          <t>안전관리론</t>
        </is>
      </c>
      <c r="F963" s="8" t="inlineStr">
        <is>
          <t>동작경제의 3원칙</t>
        </is>
      </c>
      <c r="G963" s="24" t="inlineStr">
        <is>
          <t>동작경제의 원칙</t>
        </is>
      </c>
    </row>
    <row r="964" customFormat="1" s="1">
      <c r="A964" s="6" t="n">
        <v>560</v>
      </c>
      <c r="B964" s="145" t="n">
        <v>107</v>
      </c>
      <c r="C964" s="146" t="n">
        <v>1</v>
      </c>
      <c r="D964" s="7" t="n">
        <v>2</v>
      </c>
      <c r="E964" s="6" t="inlineStr">
        <is>
          <t>가설공사</t>
        </is>
      </c>
      <c r="F964" s="8" t="inlineStr">
        <is>
          <t>가설비계_가새</t>
        </is>
      </c>
      <c r="G964" s="24" t="inlineStr">
        <is>
          <t>가설비계 설치 시 가새 (Bracing) 의 역할</t>
        </is>
      </c>
    </row>
    <row r="965" customFormat="1" s="1">
      <c r="A965" s="6" t="n">
        <v>561</v>
      </c>
      <c r="B965" s="145" t="n">
        <v>107</v>
      </c>
      <c r="C965" s="146" t="n">
        <v>1</v>
      </c>
      <c r="D965" s="7" t="n">
        <v>3</v>
      </c>
      <c r="E965" s="6" t="inlineStr">
        <is>
          <t>콘크리트</t>
        </is>
      </c>
      <c r="F965" s="8" t="inlineStr">
        <is>
          <t>크리프 파괴</t>
        </is>
      </c>
      <c r="G965" s="24" t="inlineStr">
        <is>
          <t>콘크리트의 크리프(Creep) 파괴</t>
        </is>
      </c>
    </row>
    <row r="966" customFormat="1" s="1">
      <c r="A966" s="6" t="n">
        <v>562</v>
      </c>
      <c r="B966" s="145" t="n">
        <v>107</v>
      </c>
      <c r="C966" s="146" t="n">
        <v>1</v>
      </c>
      <c r="D966" s="7" t="n">
        <v>4</v>
      </c>
      <c r="E966" s="6" t="inlineStr">
        <is>
          <t>안전관리론</t>
        </is>
      </c>
      <c r="F966" s="8" t="inlineStr">
        <is>
          <t>동기부여</t>
        </is>
      </c>
      <c r="G966" s="24" t="inlineStr">
        <is>
          <t>동기부여 이론</t>
        </is>
      </c>
    </row>
    <row r="967" customFormat="1" s="1">
      <c r="A967" s="6" t="n">
        <v>563</v>
      </c>
      <c r="B967" s="145" t="n">
        <v>107</v>
      </c>
      <c r="C967" s="146" t="n">
        <v>1</v>
      </c>
      <c r="D967" s="7" t="n">
        <v>5</v>
      </c>
      <c r="E967" s="6" t="inlineStr">
        <is>
          <t>기타</t>
        </is>
      </c>
      <c r="F967" s="8" t="inlineStr">
        <is>
          <t>부적합보고서</t>
        </is>
      </c>
      <c r="G967" s="24" t="inlineStr">
        <is>
          <t>건설사업관리기술자가 작성하는 부적합보고서 (Nonconformance Report)</t>
        </is>
      </c>
    </row>
    <row r="968" customFormat="1" s="1">
      <c r="A968" s="6" t="n">
        <v>564</v>
      </c>
      <c r="B968" s="145" t="n">
        <v>107</v>
      </c>
      <c r="C968" s="146" t="n">
        <v>1</v>
      </c>
      <c r="D968" s="7" t="n">
        <v>6</v>
      </c>
      <c r="E968" s="6" t="inlineStr">
        <is>
          <t>철골</t>
        </is>
      </c>
      <c r="F968" s="8" t="inlineStr">
        <is>
          <t>철골 강재증명서 검사항목</t>
        </is>
      </c>
      <c r="G968" s="24" t="inlineStr">
        <is>
          <t>철골부재의 강재증명서 (Mill Sheet) 검사항목</t>
        </is>
      </c>
    </row>
    <row r="969" customFormat="1" s="1">
      <c r="A969" s="6" t="n">
        <v>565</v>
      </c>
      <c r="B969" s="145" t="n">
        <v>107</v>
      </c>
      <c r="C969" s="146" t="n">
        <v>1</v>
      </c>
      <c r="D969" s="7" t="n">
        <v>7</v>
      </c>
      <c r="E969" s="6" t="inlineStr">
        <is>
          <t>건설기계</t>
        </is>
      </c>
      <c r="F969" s="8" t="inlineStr">
        <is>
          <t>곤돌라</t>
        </is>
      </c>
      <c r="G969" s="24" t="inlineStr">
        <is>
          <t>건설용 곤돌라(Gondola) 안전장치</t>
        </is>
      </c>
    </row>
    <row r="970" customFormat="1" s="1">
      <c r="A970" s="6" t="n">
        <v>566</v>
      </c>
      <c r="B970" s="145" t="n">
        <v>107</v>
      </c>
      <c r="C970" s="146" t="n">
        <v>1</v>
      </c>
      <c r="D970" s="7" t="n">
        <v>8</v>
      </c>
      <c r="E970" s="6" t="inlineStr">
        <is>
          <t>토공</t>
        </is>
      </c>
      <c r="F970" s="8" t="inlineStr">
        <is>
          <t>Atterberg한계</t>
        </is>
      </c>
      <c r="G970" s="24" t="inlineStr">
        <is>
          <t>흙의 아터버그 (Atterberg) 한계</t>
        </is>
      </c>
    </row>
    <row r="971" customFormat="1" s="1">
      <c r="A971" s="6" t="n">
        <v>567</v>
      </c>
      <c r="B971" s="145" t="n">
        <v>107</v>
      </c>
      <c r="C971" s="146" t="n">
        <v>1</v>
      </c>
      <c r="D971" s="7" t="n">
        <v>9</v>
      </c>
      <c r="E971" s="6" t="inlineStr">
        <is>
          <t>안전관리론</t>
        </is>
      </c>
      <c r="F971" s="8" t="inlineStr">
        <is>
          <t>부주의(不注意)</t>
        </is>
      </c>
      <c r="G971" s="24" t="inlineStr">
        <is>
          <t>부주의(不注意) 현상</t>
        </is>
      </c>
    </row>
    <row r="972" customFormat="1" s="1">
      <c r="A972" s="6" t="n">
        <v>568</v>
      </c>
      <c r="B972" s="145" t="n">
        <v>107</v>
      </c>
      <c r="C972" s="146" t="n">
        <v>1</v>
      </c>
      <c r="D972" s="7" t="n">
        <v>10</v>
      </c>
      <c r="E972" s="6" t="inlineStr">
        <is>
          <t>산안법</t>
        </is>
      </c>
      <c r="F972" s="8" t="inlineStr">
        <is>
          <t>석면조사대상기준</t>
        </is>
      </c>
      <c r="G972" s="24" t="inlineStr">
        <is>
          <t>석변의 조사대상기준 및 해체 작업시 준수사항</t>
        </is>
      </c>
    </row>
    <row r="973" customFormat="1" s="1">
      <c r="A973" s="6" t="n">
        <v>569</v>
      </c>
      <c r="B973" s="145" t="n">
        <v>107</v>
      </c>
      <c r="C973" s="146" t="n">
        <v>1</v>
      </c>
      <c r="D973" s="7" t="n">
        <v>11</v>
      </c>
      <c r="E973" s="6" t="inlineStr">
        <is>
          <t>콘크리트</t>
        </is>
      </c>
      <c r="F973" s="8" t="inlineStr">
        <is>
          <t>내부 철근 수막현상</t>
        </is>
      </c>
      <c r="G973" s="24" t="inlineStr">
        <is>
          <t>콘크리트 내부 철근 수막(水體)현상</t>
        </is>
      </c>
    </row>
    <row r="974" customFormat="1" s="1">
      <c r="A974" s="6" t="n">
        <v>570</v>
      </c>
      <c r="B974" s="145" t="n">
        <v>107</v>
      </c>
      <c r="C974" s="146" t="n">
        <v>1</v>
      </c>
      <c r="D974" s="7" t="n">
        <v>12</v>
      </c>
      <c r="E974" s="6" t="inlineStr">
        <is>
          <t>콘크리트</t>
        </is>
      </c>
      <c r="F974" s="8" t="inlineStr">
        <is>
          <t>거푸집동바리 안전율</t>
        </is>
      </c>
      <c r="G974" s="24" t="inlineStr">
        <is>
          <t>거푸집동바리의 안전율</t>
        </is>
      </c>
    </row>
    <row r="975" customFormat="1" s="1">
      <c r="A975" s="6" t="n">
        <v>571</v>
      </c>
      <c r="B975" s="145" t="n">
        <v>107</v>
      </c>
      <c r="C975" s="146" t="n">
        <v>1</v>
      </c>
      <c r="D975" s="7" t="n">
        <v>13</v>
      </c>
      <c r="E975" s="6" t="inlineStr">
        <is>
          <t>산안법</t>
        </is>
      </c>
      <c r="F975" s="8" t="inlineStr">
        <is>
          <t>KOSHA18001</t>
        </is>
      </c>
      <c r="G975" s="24" t="inlineStr">
        <is>
          <t>종합건설업 KOSHA1800l (안전보건경영시스템) 도입시 본사 및 현장 심사항목</t>
        </is>
      </c>
    </row>
    <row r="976" customFormat="1" s="1">
      <c r="A976" s="6" t="n">
        <v>572</v>
      </c>
      <c r="B976" s="145" t="n">
        <v>107</v>
      </c>
      <c r="C976" s="146" t="n">
        <v>2</v>
      </c>
      <c r="D976" s="7" t="n">
        <v>1</v>
      </c>
      <c r="E976" s="6" t="inlineStr">
        <is>
          <t>기타</t>
        </is>
      </c>
      <c r="F976" s="8" t="inlineStr">
        <is>
          <t>고속도로 확장 보수시 안전시설</t>
        </is>
      </c>
      <c r="G976" s="24" t="inlineStr">
        <is>
          <t>고속도로 확장 및 보수 공사구간의 안전시설 설치기준에 대하여 설명하시오.</t>
        </is>
      </c>
    </row>
    <row r="977" ht="33" customFormat="1" customHeight="1" s="1">
      <c r="A977" s="6" t="n">
        <v>573</v>
      </c>
      <c r="B977" s="145" t="n">
        <v>107</v>
      </c>
      <c r="C977" s="146" t="n">
        <v>2</v>
      </c>
      <c r="D977" s="7" t="n">
        <v>2</v>
      </c>
      <c r="E977" s="6" t="inlineStr">
        <is>
          <t>산안법</t>
        </is>
      </c>
      <c r="F977" s="8" t="inlineStr">
        <is>
          <t>위험성 평가</t>
        </is>
      </c>
      <c r="G977" s="24" t="inlineStr">
        <is>
          <t>건설현장 위험성평가시 현장대리인, 원도급 관리감독자, 안전관리자 및 협력업체 소장의 역할과 현장의 적용 시스템 구축모델을 설명하시오.</t>
        </is>
      </c>
    </row>
    <row r="978" customFormat="1" s="1">
      <c r="A978" s="6" t="n">
        <v>574</v>
      </c>
      <c r="B978" s="145" t="n">
        <v>107</v>
      </c>
      <c r="C978" s="146" t="n">
        <v>2</v>
      </c>
      <c r="D978" s="7" t="n">
        <v>3</v>
      </c>
      <c r="E978" s="6" t="inlineStr">
        <is>
          <t>건설기계</t>
        </is>
      </c>
      <c r="F978" s="8" t="inlineStr">
        <is>
          <t>백호우</t>
        </is>
      </c>
      <c r="G978" s="24" t="inlineStr">
        <is>
          <t>건설기계 중 백호우(Back-hoe) 장비의 재해발생형태별 위험요인과 안전대책에 대하여 설명하시오.</t>
        </is>
      </c>
    </row>
    <row r="979" ht="33" customFormat="1" customHeight="1" s="1">
      <c r="A979" s="6" t="n">
        <v>575</v>
      </c>
      <c r="B979" s="145" t="n">
        <v>107</v>
      </c>
      <c r="C979" s="146" t="n">
        <v>2</v>
      </c>
      <c r="D979" s="7" t="n">
        <v>4</v>
      </c>
      <c r="E979" s="6" t="inlineStr">
        <is>
          <t>산안법</t>
        </is>
      </c>
      <c r="F979" s="8" t="inlineStr">
        <is>
          <t>직업병 유해인자 안전대책</t>
        </is>
      </c>
      <c r="G979" s="24" t="inlineStr">
        <is>
          <t>최근 건설현장에서 직업병의 발생이 꾸준허 증가하는 추세에 았다. 현장 근로자의 직종별 유해인자(요인)와 그 예방대책에 대하여 설명하시오.</t>
        </is>
      </c>
    </row>
    <row r="980" ht="49.5" customFormat="1" customHeight="1" s="1">
      <c r="A980" s="6" t="n">
        <v>576</v>
      </c>
      <c r="B980" s="145" t="n">
        <v>107</v>
      </c>
      <c r="C980" s="146" t="n">
        <v>2</v>
      </c>
      <c r="D980" s="7" t="n">
        <v>5</v>
      </c>
      <c r="E980" s="6" t="inlineStr">
        <is>
          <t>가설공사</t>
        </is>
      </c>
      <c r="F980" s="8" t="inlineStr">
        <is>
          <t>강관비계</t>
        </is>
      </c>
      <c r="G980" s="24" t="inlineStr">
        <is>
          <t>건축물 신축공사 중 외부 강관쌍줄비계를 설치(H:30m) 하고 외벽마감작업 완료 후 해체작업 중 비계가 붕괴되어 중대재해가 발생하였다 현장대리인이 취하여야 할 조치사항과 동종사고예방을 위한 안전대책에 대하여 설명하시오. (사고원인 추정 : 비계해체 기준 미준수 벽이음의 설치불량과 무리한 해체)</t>
        </is>
      </c>
    </row>
    <row r="981" ht="33" customFormat="1" customHeight="1" s="1">
      <c r="A981" s="6" t="n">
        <v>577</v>
      </c>
      <c r="B981" s="145" t="n">
        <v>107</v>
      </c>
      <c r="C981" s="146" t="n">
        <v>2</v>
      </c>
      <c r="D981" s="7" t="n">
        <v>6</v>
      </c>
      <c r="E981" s="6" t="inlineStr">
        <is>
          <t>콘크리트</t>
        </is>
      </c>
      <c r="F981" s="8" t="inlineStr">
        <is>
          <t>철근 운반 가공 조립</t>
        </is>
      </c>
      <c r="G981" s="24" t="inlineStr">
        <is>
          <t>건설현장에서 골조공사시 철근의 운반, 가공 및 조립시 발생하는 안전사고의 원인과 대책에 대하여 설명하시오.</t>
        </is>
      </c>
    </row>
    <row r="982" customFormat="1" s="1">
      <c r="A982" s="6" t="n">
        <v>578</v>
      </c>
      <c r="B982" s="145" t="n">
        <v>107</v>
      </c>
      <c r="C982" s="146" t="n">
        <v>3</v>
      </c>
      <c r="D982" s="7" t="n">
        <v>1</v>
      </c>
      <c r="E982" s="6" t="inlineStr">
        <is>
          <t>토공</t>
        </is>
      </c>
      <c r="F982" s="8" t="inlineStr">
        <is>
          <t>사전조사 연약지반 개량공법</t>
        </is>
      </c>
      <c r="G982" s="24" t="inlineStr">
        <is>
          <t>연약지반을 개량하고자 한다 사전조사내용과 개량공법의 종류 및 공법선정 에 대하여 설명하시오</t>
        </is>
      </c>
    </row>
    <row r="983" customFormat="1" s="1">
      <c r="A983" s="6" t="n">
        <v>579</v>
      </c>
      <c r="B983" s="145" t="n">
        <v>107</v>
      </c>
      <c r="C983" s="146" t="n">
        <v>3</v>
      </c>
      <c r="D983" s="7" t="n">
        <v>2</v>
      </c>
      <c r="E983" s="6" t="inlineStr">
        <is>
          <t>터널</t>
        </is>
      </c>
      <c r="F983" s="8" t="inlineStr">
        <is>
          <t>발파 안전</t>
        </is>
      </c>
      <c r="G983" s="24" t="inlineStr">
        <is>
          <t>터널 굴착공사에서 암반 발파시 발생할 수 있는 사고의 원인 및 안전대책에 대하여 설명하시오.</t>
        </is>
      </c>
    </row>
    <row r="984" customFormat="1" s="1">
      <c r="A984" s="6" t="n">
        <v>580</v>
      </c>
      <c r="B984" s="145" t="n">
        <v>107</v>
      </c>
      <c r="C984" s="146" t="n">
        <v>3</v>
      </c>
      <c r="D984" s="7" t="n">
        <v>3</v>
      </c>
      <c r="E984" s="6" t="inlineStr">
        <is>
          <t>산안법</t>
        </is>
      </c>
      <c r="F984" s="8" t="inlineStr">
        <is>
          <t>산업안전보건관리비</t>
        </is>
      </c>
      <c r="G984" s="24" t="inlineStr">
        <is>
          <t>건설업 산업안전보건관리비의 항목별 사용기준 및 공사별 계상기준에 대하여 설명하시오.</t>
        </is>
      </c>
    </row>
    <row r="985" ht="33" customFormat="1" customHeight="1" s="1">
      <c r="A985" s="6" t="n">
        <v>581</v>
      </c>
      <c r="B985" s="145" t="n">
        <v>107</v>
      </c>
      <c r="C985" s="146" t="n">
        <v>3</v>
      </c>
      <c r="D985" s="7" t="n">
        <v>4</v>
      </c>
      <c r="E985" s="6" t="inlineStr">
        <is>
          <t>기초</t>
        </is>
      </c>
      <c r="F985" s="8" t="inlineStr">
        <is>
          <t>흙막이 시공계획서</t>
        </is>
      </c>
      <c r="G985" s="24" t="inlineStr">
        <is>
          <t>지하굴착공사를 위한 흙막이가시설의 시공계획서에 포함할 내용과 지하수 발생시 대책공법에 대하여 설명하시오.</t>
        </is>
      </c>
    </row>
    <row r="986" ht="33" customFormat="1" customHeight="1" s="1">
      <c r="A986" s="6" t="n">
        <v>582</v>
      </c>
      <c r="B986" s="145" t="n">
        <v>107</v>
      </c>
      <c r="C986" s="146" t="n">
        <v>3</v>
      </c>
      <c r="D986" s="7" t="n">
        <v>5</v>
      </c>
      <c r="E986" s="6" t="inlineStr">
        <is>
          <t>기타</t>
        </is>
      </c>
      <c r="F986" s="8" t="inlineStr">
        <is>
          <t>소규모건설현장의 재해발생원인 대책</t>
        </is>
      </c>
      <c r="G986" s="24" t="inlineStr">
        <is>
          <t>건설현장 발생재해의 많은 비중을 차지하는 소규모 건설현장의 재해발생원인 및 감소대책에 대하여 설명하시오.</t>
        </is>
      </c>
    </row>
    <row r="987" ht="33" customFormat="1" customHeight="1" s="1">
      <c r="A987" s="6" t="n">
        <v>583</v>
      </c>
      <c r="B987" s="145" t="n">
        <v>107</v>
      </c>
      <c r="C987" s="146" t="n">
        <v>3</v>
      </c>
      <c r="D987" s="7" t="n">
        <v>6</v>
      </c>
      <c r="E987" s="6" t="inlineStr">
        <is>
          <t>기타</t>
        </is>
      </c>
      <c r="F987" s="8" t="inlineStr">
        <is>
          <t>자연재난 인적재난</t>
        </is>
      </c>
      <c r="G987" s="24" t="inlineStr">
        <is>
          <t>최근 건설현장에서 공사 중 자연재난과 인적재난이 빈번히 발생하고 있다. 각각의 재난 특성 및 대책에 대하여 설명하시오</t>
        </is>
      </c>
    </row>
    <row r="988" ht="33" customFormat="1" customHeight="1" s="1">
      <c r="A988" s="6" t="n">
        <v>584</v>
      </c>
      <c r="B988" s="145" t="n">
        <v>107</v>
      </c>
      <c r="C988" s="146" t="n">
        <v>4</v>
      </c>
      <c r="D988" s="7" t="n">
        <v>1</v>
      </c>
      <c r="E988" s="6" t="inlineStr">
        <is>
          <t>교량</t>
        </is>
      </c>
      <c r="F988" s="8" t="inlineStr">
        <is>
          <t>가설공법_MSS</t>
        </is>
      </c>
      <c r="G988" s="24" t="inlineStr">
        <is>
          <t>M.S.S(Movable Scaffolding System) 교량 가설공법의 시공순서 및 공정별 중점 안전관리사항에 대하여 설명하시오.</t>
        </is>
      </c>
    </row>
    <row r="989" ht="33" customFormat="1" customHeight="1" s="1">
      <c r="A989" s="6" t="n">
        <v>585</v>
      </c>
      <c r="B989" s="145" t="n">
        <v>107</v>
      </c>
      <c r="C989" s="146" t="n">
        <v>4</v>
      </c>
      <c r="D989" s="7" t="n">
        <v>2</v>
      </c>
      <c r="E989" s="6" t="inlineStr">
        <is>
          <t>콘크리트</t>
        </is>
      </c>
      <c r="F989" s="8" t="inlineStr">
        <is>
          <t>거푸집_알폼</t>
        </is>
      </c>
      <c r="G989" s="24" t="inlineStr">
        <is>
          <t>공동주택 공사 중 알루미늄거푸집 (AL-Form) 의 설치 · 해체시 발생하는 안전사고의 원인 및 대책에 대하여 설명하시오.</t>
        </is>
      </c>
    </row>
    <row r="990" ht="49.5" customFormat="1" customHeight="1" s="1">
      <c r="A990" s="6" t="n">
        <v>586</v>
      </c>
      <c r="B990" s="145" t="n">
        <v>107</v>
      </c>
      <c r="C990" s="146" t="n">
        <v>4</v>
      </c>
      <c r="D990" s="7" t="n">
        <v>3</v>
      </c>
      <c r="E990" s="6" t="inlineStr">
        <is>
          <t>기초</t>
        </is>
      </c>
      <c r="F990" s="8" t="inlineStr">
        <is>
          <t>흙막이_H-PILE+토류판_어스앵커</t>
        </is>
      </c>
      <c r="G990" s="24" t="inlineStr">
        <is>
          <t>경사지에 흙막이 (H-Pile + 토류판)지지공법으로 어스앵커를 시공하면서 토공굴착 중 폭우로 인하여 기 시공된 흙막이지보공의 붕괴징후가 발생하였다 이에 따른 긴급 조치사항과 추정되는 붕괴의 원인 및 안전대책에 대하여 설명하시오.</t>
        </is>
      </c>
    </row>
    <row r="991" customFormat="1" s="1">
      <c r="A991" s="6" t="n">
        <v>587</v>
      </c>
      <c r="B991" s="145" t="n">
        <v>107</v>
      </c>
      <c r="C991" s="146" t="n">
        <v>4</v>
      </c>
      <c r="D991" s="7" t="n">
        <v>4</v>
      </c>
      <c r="E991" s="6" t="inlineStr">
        <is>
          <t>시사 이슈 문제</t>
        </is>
      </c>
      <c r="F991" s="8" t="inlineStr">
        <is>
          <t>건설공사 자동화_스마트 안전</t>
        </is>
      </c>
      <c r="G991" s="24" t="inlineStr">
        <is>
          <t>건설공사 자통화의 효과 및 향후 안전관리측면에서 활용방안에 대하여 설명하시오</t>
        </is>
      </c>
    </row>
    <row r="992" ht="33" customFormat="1" customHeight="1" s="1">
      <c r="A992" s="6" t="n">
        <v>588</v>
      </c>
      <c r="B992" s="145" t="n">
        <v>107</v>
      </c>
      <c r="C992" s="146" t="n">
        <v>4</v>
      </c>
      <c r="D992" s="7" t="n">
        <v>5</v>
      </c>
      <c r="E992" s="6" t="inlineStr">
        <is>
          <t>건설기계</t>
        </is>
      </c>
      <c r="F992" s="8" t="inlineStr">
        <is>
          <t>타워크레인</t>
        </is>
      </c>
      <c r="G992" s="24" t="inlineStr">
        <is>
          <t>타워크레인 (Tower Crane) 의 본체 등 구성요소별 위험요인과 조립, 해체 및 운행시 안전대책에 대하여 설명하시오</t>
        </is>
      </c>
    </row>
    <row r="993" ht="33" customFormat="1" customHeight="1" s="1">
      <c r="A993" s="6" t="n">
        <v>589</v>
      </c>
      <c r="B993" s="145" t="n">
        <v>107</v>
      </c>
      <c r="C993" s="146" t="n">
        <v>4</v>
      </c>
      <c r="D993" s="7" t="n">
        <v>6</v>
      </c>
      <c r="E993" s="6" t="inlineStr">
        <is>
          <t>해체공사</t>
        </is>
      </c>
      <c r="F993" s="8" t="inlineStr">
        <is>
          <t>건축물 리모델링 해제작업</t>
        </is>
      </c>
      <c r="G993" s="24" t="inlineStr">
        <is>
          <t>건축물 리모델링 (Remodeling) 현장의 해체작업 중 발생할 수 있는 안전사고의 발생원인 및 대책에 대하여 설명하시오.</t>
        </is>
      </c>
    </row>
    <row r="994" customFormat="1" s="1">
      <c r="A994" s="6" t="n">
        <v>590</v>
      </c>
      <c r="B994" s="145" t="n">
        <v>106</v>
      </c>
      <c r="C994" s="146" t="n">
        <v>1</v>
      </c>
      <c r="D994" s="7" t="n">
        <v>1</v>
      </c>
      <c r="E994" s="6" t="inlineStr">
        <is>
          <t>건진법</t>
        </is>
      </c>
      <c r="F994" s="8" t="inlineStr">
        <is>
          <t>안전관리계획서_지반침하</t>
        </is>
      </c>
      <c r="G994" s="24" t="inlineStr">
        <is>
          <t>건설기술진흥법령상 건설공사 안전관리계획에 추가해야 하는 지반침하 관련 사항</t>
        </is>
      </c>
    </row>
    <row r="995" customFormat="1" s="1">
      <c r="A995" s="6" t="n">
        <v>591</v>
      </c>
      <c r="B995" s="145" t="n">
        <v>106</v>
      </c>
      <c r="C995" s="146" t="n">
        <v>1</v>
      </c>
      <c r="D995" s="7" t="n">
        <v>2</v>
      </c>
      <c r="E995" s="6" t="inlineStr">
        <is>
          <t>산안법</t>
        </is>
      </c>
      <c r="F995" s="8" t="inlineStr">
        <is>
          <t>보건관리자</t>
        </is>
      </c>
      <c r="G995" s="24" t="inlineStr">
        <is>
          <t>산업안전보건법령상 건설업 보건관리자의 배치기준, 선염자격, 업무</t>
        </is>
      </c>
    </row>
    <row r="996" customFormat="1" s="1">
      <c r="A996" s="6" t="n">
        <v>592</v>
      </c>
      <c r="B996" s="145" t="n">
        <v>106</v>
      </c>
      <c r="C996" s="146" t="n">
        <v>1</v>
      </c>
      <c r="D996" s="7" t="n">
        <v>3</v>
      </c>
      <c r="E996" s="6" t="inlineStr">
        <is>
          <t>콘크리트</t>
        </is>
      </c>
      <c r="F996" s="8" t="inlineStr">
        <is>
          <t>콘크리트의 수축</t>
        </is>
      </c>
      <c r="G996" s="24" t="inlineStr">
        <is>
          <t>콘크리트의 수축 (Shrinkage)</t>
        </is>
      </c>
    </row>
    <row r="997" customFormat="1" s="1">
      <c r="A997" s="6" t="n">
        <v>593</v>
      </c>
      <c r="B997" s="145" t="n">
        <v>106</v>
      </c>
      <c r="C997" s="146" t="n">
        <v>1</v>
      </c>
      <c r="D997" s="7" t="n">
        <v>4</v>
      </c>
      <c r="E997" s="6" t="inlineStr">
        <is>
          <t>콘크리트</t>
        </is>
      </c>
      <c r="F997" s="8" t="inlineStr">
        <is>
          <t>수팽창지수재</t>
        </is>
      </c>
      <c r="G997" s="24" t="inlineStr">
        <is>
          <t>수팽창지수재</t>
        </is>
      </c>
    </row>
    <row r="998" customFormat="1" s="1">
      <c r="A998" s="6" t="n">
        <v>594</v>
      </c>
      <c r="B998" s="145" t="n">
        <v>106</v>
      </c>
      <c r="C998" s="146" t="n">
        <v>1</v>
      </c>
      <c r="D998" s="7" t="n">
        <v>5</v>
      </c>
      <c r="E998" s="6" t="inlineStr">
        <is>
          <t>콘크리트</t>
        </is>
      </c>
      <c r="F998" s="8" t="inlineStr">
        <is>
          <t>수중 불분리성 혼화제</t>
        </is>
      </c>
      <c r="G998" s="24" t="inlineStr">
        <is>
          <t>수중 불분리성 흔화제</t>
        </is>
      </c>
    </row>
    <row r="999" customFormat="1" s="1">
      <c r="A999" s="6" t="n">
        <v>595</v>
      </c>
      <c r="B999" s="145" t="n">
        <v>106</v>
      </c>
      <c r="C999" s="146" t="n">
        <v>1</v>
      </c>
      <c r="D999" s="7" t="n">
        <v>6</v>
      </c>
      <c r="E999" s="6" t="inlineStr">
        <is>
          <t>안전관리론</t>
        </is>
      </c>
      <c r="F999" s="8" t="inlineStr">
        <is>
          <t>매슬로우 욕구 7단계</t>
        </is>
      </c>
      <c r="G999" s="24" t="inlineStr">
        <is>
          <t>매슬로우 (Maslow)의 욕구 위계 7단계</t>
        </is>
      </c>
    </row>
    <row r="1000" customFormat="1" s="1">
      <c r="A1000" s="6" t="n">
        <v>596</v>
      </c>
      <c r="B1000" s="145" t="n">
        <v>106</v>
      </c>
      <c r="C1000" s="146" t="n">
        <v>1</v>
      </c>
      <c r="D1000" s="7" t="n">
        <v>7</v>
      </c>
      <c r="E1000" s="6" t="inlineStr">
        <is>
          <t>안전관리론</t>
        </is>
      </c>
      <c r="F1000" s="8" t="inlineStr">
        <is>
          <t>무재해운동_TBM</t>
        </is>
      </c>
      <c r="G1000" s="24" t="inlineStr">
        <is>
          <t>위험예지훈련(Tool Box Meeting)</t>
        </is>
      </c>
    </row>
    <row r="1001" customFormat="1" s="1">
      <c r="A1001" s="6" t="n">
        <v>597</v>
      </c>
      <c r="B1001" s="145" t="n">
        <v>106</v>
      </c>
      <c r="C1001" s="146" t="n">
        <v>1</v>
      </c>
      <c r="D1001" s="7" t="n">
        <v>8</v>
      </c>
      <c r="E1001" s="6" t="inlineStr">
        <is>
          <t>산안법</t>
        </is>
      </c>
      <c r="F1001" s="8" t="inlineStr">
        <is>
          <t>건설업 기초안전 보건교육</t>
        </is>
      </c>
      <c r="G1001" s="24" t="inlineStr">
        <is>
          <t>건설업 기초안전 · 보건교육</t>
        </is>
      </c>
    </row>
    <row r="1002" customFormat="1" s="1">
      <c r="A1002" s="6" t="n">
        <v>598</v>
      </c>
      <c r="B1002" s="145" t="n">
        <v>106</v>
      </c>
      <c r="C1002" s="146" t="n">
        <v>1</v>
      </c>
      <c r="D1002" s="7" t="n">
        <v>9</v>
      </c>
      <c r="E1002" s="6" t="inlineStr">
        <is>
          <t>산안법</t>
        </is>
      </c>
      <c r="F1002" s="8" t="inlineStr">
        <is>
          <t>위험성 평가</t>
        </is>
      </c>
      <c r="G1002" s="24" t="inlineStr">
        <is>
          <t>위험성평가 기법의 종류</t>
        </is>
      </c>
    </row>
    <row r="1003" ht="49.5" customFormat="1" customHeight="1" s="1">
      <c r="A1003" s="6" t="n">
        <v>599</v>
      </c>
      <c r="B1003" s="145" t="n">
        <v>106</v>
      </c>
      <c r="C1003" s="146" t="n">
        <v>1</v>
      </c>
      <c r="D1003" s="7" t="n">
        <v>10</v>
      </c>
      <c r="E1003" s="6" t="inlineStr">
        <is>
          <t>산안법</t>
        </is>
      </c>
      <c r="F1003" s="8" t="inlineStr">
        <is>
          <t>근로손실일수</t>
        </is>
      </c>
      <c r="G1003" s="24" t="inlineStr">
        <is>
          <t>근로손실일수 7500 일의 산출근거 및 의미를 기술하고, 300명이 상시 근무하는 사업장에서 연간 5건의 재해가 발생하여 3급장애자 2명, 50일 입원 2명, 30일 입원 3명이 발생하였을 때 이 사업장의 강도율을 구하시오 (단, 소숫점 둘째자리에서 반올림 하시오.)</t>
        </is>
      </c>
    </row>
    <row r="1004" customFormat="1" s="1">
      <c r="A1004" s="6" t="n">
        <v>600</v>
      </c>
      <c r="B1004" s="145" t="n">
        <v>106</v>
      </c>
      <c r="C1004" s="146" t="n">
        <v>1</v>
      </c>
      <c r="D1004" s="7" t="n">
        <v>11</v>
      </c>
      <c r="E1004" s="6" t="inlineStr">
        <is>
          <t>산안법</t>
        </is>
      </c>
      <c r="F1004" s="8" t="inlineStr">
        <is>
          <t>정부 책무 사업주 의무</t>
        </is>
      </c>
      <c r="G1004" s="24" t="inlineStr">
        <is>
          <t>산업안전보건법령상 정부의 책무 및 사업주의 의무</t>
        </is>
      </c>
    </row>
    <row r="1005" customFormat="1" s="1">
      <c r="A1005" s="6" t="n">
        <v>601</v>
      </c>
      <c r="B1005" s="145" t="n">
        <v>106</v>
      </c>
      <c r="C1005" s="146" t="n">
        <v>1</v>
      </c>
      <c r="D1005" s="7" t="n">
        <v>12</v>
      </c>
      <c r="E1005" s="6" t="inlineStr">
        <is>
          <t>터널</t>
        </is>
      </c>
      <c r="F1005" s="8" t="inlineStr">
        <is>
          <t>숏크리트</t>
        </is>
      </c>
      <c r="G1005" s="24" t="inlineStr">
        <is>
          <t>숏크리트 (Shotcrete)</t>
        </is>
      </c>
    </row>
    <row r="1006" customFormat="1" s="1">
      <c r="A1006" s="6" t="n">
        <v>602</v>
      </c>
      <c r="B1006" s="145" t="n">
        <v>106</v>
      </c>
      <c r="C1006" s="146" t="n">
        <v>1</v>
      </c>
      <c r="D1006" s="7" t="n">
        <v>13</v>
      </c>
      <c r="E1006" s="6" t="inlineStr">
        <is>
          <t>터널</t>
        </is>
      </c>
      <c r="F1006" s="8" t="inlineStr">
        <is>
          <t>여굴발생원인 방지대책</t>
        </is>
      </c>
      <c r="G1006" s="24" t="inlineStr">
        <is>
          <t>터널 굴착 시 여굴 발생원인 및 방지대책</t>
        </is>
      </c>
    </row>
    <row r="1007" ht="33" customFormat="1" customHeight="1" s="1">
      <c r="A1007" s="6" t="n">
        <v>603</v>
      </c>
      <c r="B1007" s="145" t="n">
        <v>106</v>
      </c>
      <c r="C1007" s="146" t="n">
        <v>2</v>
      </c>
      <c r="D1007" s="7" t="n">
        <v>1</v>
      </c>
      <c r="E1007" s="6" t="inlineStr">
        <is>
          <t>산안법</t>
        </is>
      </c>
      <c r="F1007" s="8" t="inlineStr">
        <is>
          <t>안전보건교육</t>
        </is>
      </c>
      <c r="G1007" s="24" t="inlineStr">
        <is>
          <t>산업안전보건법령상 건설현장에서 일용근로자를 대상으로 시행하는 안전 · 보건교육의 종류, 교육시간, 교육내용에 대하여 설명하시오</t>
        </is>
      </c>
    </row>
    <row r="1008" ht="33" customFormat="1" customHeight="1" s="1">
      <c r="A1008" s="6" t="n">
        <v>604</v>
      </c>
      <c r="B1008" s="145" t="n">
        <v>106</v>
      </c>
      <c r="C1008" s="146" t="n">
        <v>2</v>
      </c>
      <c r="D1008" s="7" t="n">
        <v>2</v>
      </c>
      <c r="E1008" s="6" t="inlineStr">
        <is>
          <t>기타</t>
        </is>
      </c>
      <c r="F1008" s="8" t="inlineStr">
        <is>
          <t>안전문화 정착_주체별 역할</t>
        </is>
      </c>
      <c r="G1008" s="24" t="inlineStr">
        <is>
          <t>건설현장에서 선진안전문화 정착을 위한 공사팀장, 안전관리자, 협력업체 소장의 역할과 책임 (Role &amp; Responsibility) 에 대하여 설명하시오</t>
        </is>
      </c>
    </row>
    <row r="1009" ht="33" customFormat="1" customHeight="1" s="1">
      <c r="A1009" s="6" t="n">
        <v>605</v>
      </c>
      <c r="B1009" s="145" t="n">
        <v>106</v>
      </c>
      <c r="C1009" s="146" t="n">
        <v>2</v>
      </c>
      <c r="D1009" s="7" t="n">
        <v>3</v>
      </c>
      <c r="E1009" s="6" t="inlineStr">
        <is>
          <t>계절재해</t>
        </is>
      </c>
      <c r="F1009" s="8" t="inlineStr">
        <is>
          <t>장마철 혹서기 재해유형 대책</t>
        </is>
      </c>
      <c r="G1009" s="24" t="inlineStr">
        <is>
          <t>건설현장에서의 하절기(장마철, 혹서기)에 발생하는 특정적 재해유형 및 위험요인별 안전대책에 대하여 설명하시오</t>
        </is>
      </c>
    </row>
    <row r="1010" ht="33" customFormat="1" customHeight="1" s="1">
      <c r="A1010" s="6" t="n">
        <v>606</v>
      </c>
      <c r="B1010" s="145" t="n">
        <v>106</v>
      </c>
      <c r="C1010" s="146" t="n">
        <v>2</v>
      </c>
      <c r="D1010" s="7" t="n">
        <v>4</v>
      </c>
      <c r="E1010" s="6" t="inlineStr">
        <is>
          <t>건축</t>
        </is>
      </c>
      <c r="F1010" s="8" t="inlineStr">
        <is>
          <t>건축리모델링시 안전대책</t>
        </is>
      </c>
      <c r="G1010" s="24" t="inlineStr">
        <is>
          <t>건축리모델링 공사 시 안전한 공사를 위한 고려사항을 부지현황 조사, 건축구조물 점검 , 증축부분으로 구분하여 설명하시오.</t>
        </is>
      </c>
    </row>
    <row r="1011" customFormat="1" s="1">
      <c r="A1011" s="6" t="n">
        <v>607</v>
      </c>
      <c r="B1011" s="145" t="n">
        <v>106</v>
      </c>
      <c r="C1011" s="146" t="n">
        <v>2</v>
      </c>
      <c r="D1011" s="7" t="n">
        <v>5</v>
      </c>
      <c r="E1011" s="6" t="inlineStr">
        <is>
          <t>가설공사</t>
        </is>
      </c>
      <c r="F1011" s="8" t="inlineStr">
        <is>
          <t>시스템 동바리</t>
        </is>
      </c>
      <c r="G1011" s="24" t="inlineStr">
        <is>
          <t>시스템 (System) 동바리의 구조적 개념과 붕괴원인 및 붕괴 방지대책에 대하여 설명하시오.</t>
        </is>
      </c>
    </row>
    <row r="1012" customFormat="1" s="1">
      <c r="A1012" s="6" t="n">
        <v>608</v>
      </c>
      <c r="B1012" s="145" t="n">
        <v>106</v>
      </c>
      <c r="C1012" s="146" t="n">
        <v>2</v>
      </c>
      <c r="D1012" s="7" t="n">
        <v>6</v>
      </c>
      <c r="E1012" s="6" t="inlineStr">
        <is>
          <t>콘크리트</t>
        </is>
      </c>
      <c r="F1012" s="8" t="inlineStr">
        <is>
          <t>거푸집_갱폼</t>
        </is>
      </c>
      <c r="G1012" s="24" t="inlineStr">
        <is>
          <t>갱폼 (Gang form) 제작 시 갱폼의 안전설비 및 현장에서 사용 시 안전작업대책에 대하여 설명하시오.</t>
        </is>
      </c>
    </row>
    <row r="1013" customFormat="1" s="1">
      <c r="A1013" s="6" t="n">
        <v>609</v>
      </c>
      <c r="B1013" s="145" t="n">
        <v>106</v>
      </c>
      <c r="C1013" s="146" t="n">
        <v>3</v>
      </c>
      <c r="D1013" s="7" t="n">
        <v>1</v>
      </c>
      <c r="E1013" s="6" t="inlineStr">
        <is>
          <t>건축</t>
        </is>
      </c>
      <c r="F1013" s="8" t="inlineStr">
        <is>
          <t>초고층 건축물의 특징 재해유형</t>
        </is>
      </c>
      <c r="G1013" s="24" t="inlineStr">
        <is>
          <t>사용중인 초고층 빌딩에서 발생될 수 있는 재해요인과 방지대책에 대하여 설명하시오</t>
        </is>
      </c>
    </row>
    <row r="1014" ht="33" customFormat="1" customHeight="1" s="1">
      <c r="A1014" s="6" t="n">
        <v>610</v>
      </c>
      <c r="B1014" s="145" t="n">
        <v>106</v>
      </c>
      <c r="C1014" s="146" t="n">
        <v>3</v>
      </c>
      <c r="D1014" s="7" t="n">
        <v>2</v>
      </c>
      <c r="E1014" s="6" t="inlineStr">
        <is>
          <t>콘크리트</t>
        </is>
      </c>
      <c r="F1014" s="8" t="inlineStr">
        <is>
          <t>화재 폭열현상</t>
        </is>
      </c>
      <c r="G1014" s="24" t="inlineStr">
        <is>
          <t>콘크리트 구조물의 화재 시 구조물의 안전에 영향을 미치는 요소를 나열하고, 콘크리트 구조물의 화재예방 및 피해최소화 방안에 대하여 설명하시오.</t>
        </is>
      </c>
    </row>
    <row r="1015" customFormat="1" s="1">
      <c r="A1015" s="6" t="n">
        <v>611</v>
      </c>
      <c r="B1015" s="145" t="n">
        <v>106</v>
      </c>
      <c r="C1015" s="146" t="n">
        <v>3</v>
      </c>
      <c r="D1015" s="7" t="n">
        <v>3</v>
      </c>
      <c r="E1015" s="6" t="inlineStr">
        <is>
          <t>철골</t>
        </is>
      </c>
      <c r="F1015" s="8" t="inlineStr">
        <is>
          <t>안전시공절차 추락방지시설</t>
        </is>
      </c>
      <c r="G1015" s="24" t="inlineStr">
        <is>
          <t>철골공사 작업 시 안전시공절차 및 추락방지시설에 대하여 설명하시오.</t>
        </is>
      </c>
    </row>
    <row r="1016" ht="33" customFormat="1" customHeight="1" s="1">
      <c r="A1016" s="6" t="n">
        <v>612</v>
      </c>
      <c r="B1016" s="145" t="n">
        <v>106</v>
      </c>
      <c r="C1016" s="146" t="n">
        <v>3</v>
      </c>
      <c r="D1016" s="7" t="n">
        <v>4</v>
      </c>
      <c r="E1016" s="6" t="inlineStr">
        <is>
          <t>산안법</t>
        </is>
      </c>
      <c r="F1016" s="8" t="inlineStr">
        <is>
          <t>산업재해 발생보고
의무 위반건수</t>
        </is>
      </c>
      <c r="G1016" s="24" t="inlineStr">
        <is>
          <t>산엽안전보건법령상 건설업체 산업재해발생률 및 산업재해 발생 보고의무 위반건수의 산정기준과 방법에 대하여 설명하시오</t>
        </is>
      </c>
    </row>
    <row r="1017" customFormat="1" s="1">
      <c r="A1017" s="6" t="n">
        <v>613</v>
      </c>
      <c r="B1017" s="145" t="n">
        <v>106</v>
      </c>
      <c r="C1017" s="146" t="n">
        <v>3</v>
      </c>
      <c r="D1017" s="7" t="n">
        <v>5</v>
      </c>
      <c r="E1017" s="6" t="inlineStr">
        <is>
          <t>콘크리트</t>
        </is>
      </c>
      <c r="F1017" s="8" t="inlineStr">
        <is>
          <t>철근 부식</t>
        </is>
      </c>
      <c r="G1017" s="24" t="inlineStr">
        <is>
          <t>철근의 철근부식에 따른 성능저하 손상도 및 보수판정 기준, 부식원인 및 방지대책에 대하여 설명하시오.</t>
        </is>
      </c>
    </row>
    <row r="1018" ht="49.5" customFormat="1" customHeight="1" s="1">
      <c r="A1018" s="6" t="n">
        <v>614</v>
      </c>
      <c r="B1018" s="145" t="n">
        <v>106</v>
      </c>
      <c r="C1018" s="146" t="n">
        <v>3</v>
      </c>
      <c r="D1018" s="7" t="n">
        <v>6</v>
      </c>
      <c r="E1018" s="6" t="inlineStr">
        <is>
          <t>콘크리트</t>
        </is>
      </c>
      <c r="F1018" s="8" t="inlineStr">
        <is>
          <t>거푸집동바리 간격계산</t>
        </is>
      </c>
      <c r="G1018" s="24" t="inlineStr">
        <is>
          <t>그림과 같이 철근콘크리트 슬래브를 시공하려 한다 다음 각 물음에 답하시오. 가) 동바리 를 양방향의 동일한 간격으로 배치할 경우, 다음 조건을 고려하여 최대간격 d(m) 를 구하시오 (단, 소숫점 둘째자리 이하는 버림처리 하시오) &lt;그림, 질문 생략&gt;</t>
        </is>
      </c>
    </row>
    <row r="1019" ht="49.5" customFormat="1" customHeight="1" s="1">
      <c r="A1019" s="6" t="n">
        <v>615</v>
      </c>
      <c r="B1019" s="145" t="n">
        <v>106</v>
      </c>
      <c r="C1019" s="146" t="n">
        <v>4</v>
      </c>
      <c r="D1019" s="7" t="n">
        <v>1</v>
      </c>
      <c r="E1019" s="6" t="inlineStr">
        <is>
          <t>콘크리트</t>
        </is>
      </c>
      <c r="F1019" s="8" t="inlineStr">
        <is>
          <t>PS콘크리트</t>
        </is>
      </c>
      <c r="G1019" s="24" t="inlineStr">
        <is>
          <t>프리스트레스트 콘크리트(Prestressed Concrete) 에 대한 다음 사항을 설명하시오. 
가) 정의, 특정, 긴장방법, 시공 시 유의사항 
나) PSC 거더 (Girder) 긴장 시 주의사항 및 거치 시 안전조치사항</t>
        </is>
      </c>
    </row>
    <row r="1020" customFormat="1" s="1">
      <c r="A1020" s="6" t="n">
        <v>616</v>
      </c>
      <c r="B1020" s="145" t="n">
        <v>106</v>
      </c>
      <c r="C1020" s="146" t="n">
        <v>4</v>
      </c>
      <c r="D1020" s="7" t="n">
        <v>2</v>
      </c>
      <c r="E1020" s="6" t="inlineStr">
        <is>
          <t>가설공사</t>
        </is>
      </c>
      <c r="F1020" s="8" t="inlineStr">
        <is>
          <t>가설교량 시공시 주의사항</t>
        </is>
      </c>
      <c r="G1020" s="24" t="inlineStr">
        <is>
          <t>가설교량의 H 파일 (Pile) , 주형보, 복공판 시공 시 유의사항에 대하여 설명하시오.</t>
        </is>
      </c>
    </row>
    <row r="1021" customFormat="1" s="1">
      <c r="A1021" s="6" t="n">
        <v>617</v>
      </c>
      <c r="B1021" s="145" t="n">
        <v>106</v>
      </c>
      <c r="C1021" s="146" t="n">
        <v>4</v>
      </c>
      <c r="D1021" s="7" t="n">
        <v>3</v>
      </c>
      <c r="E1021" s="6" t="inlineStr">
        <is>
          <t>기초</t>
        </is>
      </c>
      <c r="F1021" s="8" t="inlineStr">
        <is>
          <t>기성콘크리트말뚝 
파손원인 방지대책</t>
        </is>
      </c>
      <c r="G1021" s="24" t="inlineStr">
        <is>
          <t>기성콘크리트말뚝의 파손의 원인과 방지대책 그리고 시공 시 유의사항 및 안전대책에 대하여 설명하시오.</t>
        </is>
      </c>
    </row>
    <row r="1022" ht="33" customFormat="1" customHeight="1" s="1">
      <c r="A1022" s="6" t="n">
        <v>618</v>
      </c>
      <c r="B1022" s="145" t="n">
        <v>106</v>
      </c>
      <c r="C1022" s="146" t="n">
        <v>4</v>
      </c>
      <c r="D1022" s="7" t="n">
        <v>4</v>
      </c>
      <c r="E1022" s="6" t="inlineStr">
        <is>
          <t>산안법</t>
        </is>
      </c>
      <c r="F1022" s="8" t="inlineStr">
        <is>
          <t>KOSHA18001</t>
        </is>
      </c>
      <c r="G1022" s="24" t="inlineStr">
        <is>
          <t>건설업 KOSHA 18001 시스템의 도입 필요성, 인증절차, 본사 및 현장 안전관리 운영체계에 대하여 설명하시오</t>
        </is>
      </c>
    </row>
    <row r="1023" ht="49.5" customFormat="1" customHeight="1" s="1">
      <c r="A1023" s="6" t="n">
        <v>619</v>
      </c>
      <c r="B1023" s="145" t="n">
        <v>106</v>
      </c>
      <c r="C1023" s="146" t="n">
        <v>4</v>
      </c>
      <c r="D1023" s="7" t="n">
        <v>5</v>
      </c>
      <c r="E1023" s="6" t="inlineStr">
        <is>
          <t>안전관리론</t>
        </is>
      </c>
      <c r="F1023" s="8" t="inlineStr">
        <is>
          <t>안전심리_프로이드의 인간성격</t>
        </is>
      </c>
      <c r="G1023" s="24" t="inlineStr">
        <is>
          <t>프로이드 (Freud) 는 인간의 성격을 3가지의 기본구조, 즉 원초아 (Id), 자아 (Ego), 초자아(Super Ego) 로 보았는데, 이 3가지 구조에 대하여 각각 설명하고, 일반적으로 사람들이 내적갈등의 상태에 빠졌을 때 자신을 보호하기 위해 사용하는 방어기제에 대하여 설명하시오.</t>
        </is>
      </c>
    </row>
    <row r="1024" customFormat="1" s="1">
      <c r="A1024" s="6" t="n">
        <v>620</v>
      </c>
      <c r="B1024" s="145" t="n">
        <v>106</v>
      </c>
      <c r="C1024" s="146" t="n">
        <v>4</v>
      </c>
      <c r="D1024" s="7" t="n">
        <v>6</v>
      </c>
      <c r="E1024" s="6" t="inlineStr">
        <is>
          <t>건축</t>
        </is>
      </c>
      <c r="F1024" s="8" t="inlineStr">
        <is>
          <t>커튼월</t>
        </is>
      </c>
      <c r="G1024" s="24" t="inlineStr">
        <is>
          <t>커튼월 (Curtain Wall) 의 누수원인과 누수를 방지하기 위한 빗물처리방식에 대하여 설명하시오.</t>
        </is>
      </c>
    </row>
    <row r="1025" customFormat="1" s="1">
      <c r="A1025" s="6" t="n"/>
      <c r="B1025" s="145" t="n">
        <v>105</v>
      </c>
      <c r="C1025" s="146" t="n">
        <v>1</v>
      </c>
      <c r="D1025" s="7" t="n">
        <v>1</v>
      </c>
      <c r="E1025" s="6" t="inlineStr">
        <is>
          <t>안전관리론</t>
        </is>
      </c>
      <c r="F1025" s="8" t="inlineStr">
        <is>
          <t>건설안전개념</t>
        </is>
      </c>
      <c r="G1025" s="24" t="inlineStr">
        <is>
          <t>건설안전의 개념(槪念)</t>
        </is>
      </c>
    </row>
    <row r="1026" customFormat="1" s="1">
      <c r="A1026" s="6" t="n"/>
      <c r="B1026" s="145" t="n">
        <v>105</v>
      </c>
      <c r="C1026" s="146" t="n">
        <v>1</v>
      </c>
      <c r="D1026" s="7" t="n">
        <v>2</v>
      </c>
      <c r="E1026" s="6" t="inlineStr">
        <is>
          <t>산안법</t>
        </is>
      </c>
      <c r="F1026" s="8" t="inlineStr">
        <is>
          <t>보호구</t>
        </is>
      </c>
      <c r="G1026" s="24" t="inlineStr">
        <is>
          <t>보호구의 종류와 관리방법</t>
        </is>
      </c>
    </row>
    <row r="1027" customFormat="1" s="1">
      <c r="A1027" s="6" t="n"/>
      <c r="B1027" s="145" t="n">
        <v>105</v>
      </c>
      <c r="C1027" s="146" t="n">
        <v>1</v>
      </c>
      <c r="D1027" s="7" t="n">
        <v>3</v>
      </c>
      <c r="E1027" s="6" t="inlineStr">
        <is>
          <t>토공</t>
        </is>
      </c>
      <c r="F1027" s="8" t="inlineStr">
        <is>
          <t>Proof rolling</t>
        </is>
      </c>
      <c r="G1027" s="24" t="inlineStr">
        <is>
          <t>Proof rolling</t>
        </is>
      </c>
    </row>
    <row r="1028" customFormat="1" s="1">
      <c r="A1028" s="6" t="n"/>
      <c r="B1028" s="145" t="n">
        <v>105</v>
      </c>
      <c r="C1028" s="146" t="n">
        <v>1</v>
      </c>
      <c r="D1028" s="7" t="n">
        <v>4</v>
      </c>
      <c r="E1028" s="6" t="inlineStr">
        <is>
          <t>콘크리트</t>
        </is>
      </c>
      <c r="F1028" s="8" t="inlineStr">
        <is>
          <t>한중콘크리트</t>
        </is>
      </c>
      <c r="G1028" s="24" t="inlineStr">
        <is>
          <t>한중콘크리트의 품질관리</t>
        </is>
      </c>
    </row>
    <row r="1029" customFormat="1" s="1">
      <c r="A1029" s="6" t="n"/>
      <c r="B1029" s="145" t="n">
        <v>105</v>
      </c>
      <c r="C1029" s="146" t="n">
        <v>1</v>
      </c>
      <c r="D1029" s="7" t="n">
        <v>5</v>
      </c>
      <c r="E1029" s="6" t="inlineStr">
        <is>
          <t>안전관리론</t>
        </is>
      </c>
      <c r="F1029" s="8" t="inlineStr">
        <is>
          <t>초기안전점검</t>
        </is>
      </c>
      <c r="G1029" s="24" t="inlineStr">
        <is>
          <t>초기안전점검</t>
        </is>
      </c>
    </row>
    <row r="1030" customFormat="1" s="1">
      <c r="A1030" s="6" t="n"/>
      <c r="B1030" s="145" t="n">
        <v>105</v>
      </c>
      <c r="C1030" s="146" t="n">
        <v>1</v>
      </c>
      <c r="D1030" s="7" t="n">
        <v>6</v>
      </c>
      <c r="E1030" s="6" t="inlineStr">
        <is>
          <t>토공</t>
        </is>
      </c>
      <c r="F1030" s="8" t="inlineStr">
        <is>
          <t>액상화</t>
        </is>
      </c>
      <c r="G1030" s="24" t="inlineStr">
        <is>
          <t>액상화(液狀化, liquefaction)</t>
        </is>
      </c>
    </row>
    <row r="1031" customFormat="1" s="1">
      <c r="A1031" s="6" t="n"/>
      <c r="B1031" s="145" t="n">
        <v>105</v>
      </c>
      <c r="C1031" s="146" t="n">
        <v>1</v>
      </c>
      <c r="D1031" s="7" t="n">
        <v>7</v>
      </c>
      <c r="E1031" s="6" t="inlineStr">
        <is>
          <t>가설공사</t>
        </is>
      </c>
      <c r="F1031" s="8" t="inlineStr">
        <is>
          <t>피뢰침</t>
        </is>
      </c>
      <c r="G1031" s="24" t="inlineStr">
        <is>
          <t>피뢰침의 구조와 보호범위 및 여유도</t>
        </is>
      </c>
    </row>
    <row r="1032" customFormat="1" s="1">
      <c r="A1032" s="6" t="n"/>
      <c r="B1032" s="145" t="n">
        <v>105</v>
      </c>
      <c r="C1032" s="146" t="n">
        <v>1</v>
      </c>
      <c r="D1032" s="7" t="n">
        <v>8</v>
      </c>
      <c r="E1032" s="6" t="inlineStr">
        <is>
          <t>건축</t>
        </is>
      </c>
      <c r="F1032" s="8" t="inlineStr">
        <is>
          <t>강화유리</t>
        </is>
      </c>
      <c r="G1032" s="24" t="inlineStr">
        <is>
          <t>강화유리와 반강화유리</t>
        </is>
      </c>
    </row>
    <row r="1033" customFormat="1" s="1">
      <c r="A1033" s="6" t="n"/>
      <c r="B1033" s="145" t="n">
        <v>105</v>
      </c>
      <c r="C1033" s="146" t="n">
        <v>1</v>
      </c>
      <c r="D1033" s="7" t="n">
        <v>9</v>
      </c>
      <c r="E1033" s="6" t="inlineStr">
        <is>
          <t>콘크리트</t>
        </is>
      </c>
      <c r="F1033" s="8" t="inlineStr">
        <is>
          <t>공발현상</t>
        </is>
      </c>
      <c r="G1033" s="24" t="inlineStr">
        <is>
          <t>공발현상(철포현상)</t>
        </is>
      </c>
    </row>
    <row r="1034" customFormat="1" s="1">
      <c r="A1034" s="6" t="n"/>
      <c r="B1034" s="145" t="n">
        <v>105</v>
      </c>
      <c r="C1034" s="146" t="n">
        <v>1</v>
      </c>
      <c r="D1034" s="7" t="n">
        <v>10</v>
      </c>
      <c r="E1034" s="6" t="inlineStr">
        <is>
          <t>건축</t>
        </is>
      </c>
      <c r="F1034" s="8" t="inlineStr">
        <is>
          <t>수목식재</t>
        </is>
      </c>
      <c r="G1034" s="24" t="inlineStr">
        <is>
          <t>수목식재의 버팀목(지주목)</t>
        </is>
      </c>
    </row>
    <row r="1035" customFormat="1" s="1">
      <c r="A1035" s="6" t="n"/>
      <c r="B1035" s="145" t="n">
        <v>105</v>
      </c>
      <c r="C1035" s="146" t="n">
        <v>1</v>
      </c>
      <c r="D1035" s="7" t="n">
        <v>11</v>
      </c>
      <c r="E1035" s="6" t="inlineStr">
        <is>
          <t>기타</t>
        </is>
      </c>
      <c r="F1035" s="8" t="inlineStr">
        <is>
          <t>Arch action</t>
        </is>
      </c>
      <c r="G1035" s="24" t="inlineStr">
        <is>
          <t>구조물에 작용하는 Arch action</t>
        </is>
      </c>
    </row>
    <row r="1036" customFormat="1" s="1">
      <c r="A1036" s="6" t="n"/>
      <c r="B1036" s="145" t="n">
        <v>105</v>
      </c>
      <c r="C1036" s="146" t="n">
        <v>1</v>
      </c>
      <c r="D1036" s="7" t="n">
        <v>12</v>
      </c>
      <c r="E1036" s="6" t="inlineStr">
        <is>
          <t>콘크리트</t>
        </is>
      </c>
      <c r="F1036" s="8" t="inlineStr">
        <is>
          <t>콘크리트 폭열</t>
        </is>
      </c>
      <c r="G1036" s="24" t="inlineStr">
        <is>
          <t>콘크리트 폭열에 영향을 주는 인자</t>
        </is>
      </c>
    </row>
    <row r="1037" customFormat="1" s="1">
      <c r="A1037" s="6" t="n"/>
      <c r="B1037" s="145" t="n">
        <v>105</v>
      </c>
      <c r="C1037" s="146" t="n">
        <v>1</v>
      </c>
      <c r="D1037" s="7" t="n">
        <v>13</v>
      </c>
      <c r="E1037" s="6" t="inlineStr">
        <is>
          <t>안전관리론</t>
        </is>
      </c>
      <c r="F1037" s="8" t="inlineStr">
        <is>
          <t>버드의 신도미노이론</t>
        </is>
      </c>
      <c r="G1037" s="24" t="inlineStr">
        <is>
          <t>재해 발생이론 중 Frank E. Bird's 의 신도미노이론</t>
        </is>
      </c>
    </row>
    <row r="1038" customFormat="1" s="1">
      <c r="A1038" s="6" t="n"/>
      <c r="B1038" s="145" t="n">
        <v>105</v>
      </c>
      <c r="C1038" s="146" t="n">
        <v>2</v>
      </c>
      <c r="D1038" s="7" t="n">
        <v>1</v>
      </c>
      <c r="E1038" s="6" t="inlineStr">
        <is>
          <t>건진법</t>
        </is>
      </c>
      <c r="F1038" s="8" t="inlineStr">
        <is>
          <t>안전관리계획서</t>
        </is>
      </c>
      <c r="G1038" s="24" t="inlineStr">
        <is>
          <t>건설기술진흥법에서 정한 안전관리계획서의 필요성, 목적, 대상사업장 및 검토시스템에 대하여 설명하시오.</t>
        </is>
      </c>
    </row>
    <row r="1039" customFormat="1" s="1">
      <c r="A1039" s="6" t="n"/>
      <c r="B1039" s="145" t="n">
        <v>105</v>
      </c>
      <c r="C1039" s="146" t="n">
        <v>2</v>
      </c>
      <c r="D1039" s="7" t="n">
        <v>2</v>
      </c>
      <c r="E1039" s="6" t="inlineStr">
        <is>
          <t>기초</t>
        </is>
      </c>
      <c r="F1039" s="8" t="inlineStr">
        <is>
          <t>RCD공법_철근공상_슬라임</t>
        </is>
      </c>
      <c r="G1039" s="24" t="inlineStr">
        <is>
          <t>건설현장에서 시행하는 대구경 현장타설 말뚝기초(RCD) 공법의 철근공상 방지대책과 슬라임 처리방안에 대하여 설명하시오.</t>
        </is>
      </c>
    </row>
    <row r="1040" customFormat="1" s="1">
      <c r="A1040" s="6" t="n"/>
      <c r="B1040" s="145" t="n">
        <v>105</v>
      </c>
      <c r="C1040" s="146" t="n">
        <v>2</v>
      </c>
      <c r="D1040" s="7" t="n">
        <v>3</v>
      </c>
      <c r="E1040" s="6" t="inlineStr">
        <is>
          <t>가설공사</t>
        </is>
      </c>
      <c r="F1040" s="8" t="inlineStr">
        <is>
          <t>복공판</t>
        </is>
      </c>
      <c r="G1040" s="24" t="inlineStr">
        <is>
          <t>도심지 지하굴착공사시 사용하는 스틸복공판(覆工板)의 기능, 안전취약요소 및 안전대책에 대하여 설명하시오.</t>
        </is>
      </c>
    </row>
    <row r="1041" customFormat="1" s="1">
      <c r="A1041" s="6" t="n"/>
      <c r="B1041" s="145" t="n">
        <v>105</v>
      </c>
      <c r="C1041" s="146" t="n">
        <v>2</v>
      </c>
      <c r="D1041" s="7" t="n">
        <v>4</v>
      </c>
      <c r="E1041" s="6" t="inlineStr">
        <is>
          <t>계절재해</t>
        </is>
      </c>
      <c r="F1041" s="8" t="inlineStr">
        <is>
          <t>동절기재해</t>
        </is>
      </c>
      <c r="G1041" s="24" t="inlineStr">
        <is>
          <t>건설현장에서 동절기 공사 재해의 예방대책에 대하여 설명하시오.</t>
        </is>
      </c>
    </row>
    <row r="1042" customFormat="1" s="1">
      <c r="A1042" s="6" t="n"/>
      <c r="B1042" s="145" t="n">
        <v>105</v>
      </c>
      <c r="C1042" s="146" t="n">
        <v>2</v>
      </c>
      <c r="D1042" s="7" t="n">
        <v>5</v>
      </c>
      <c r="E1042" s="6" t="inlineStr">
        <is>
          <t>안전관리론</t>
        </is>
      </c>
      <c r="F1042" s="8" t="inlineStr">
        <is>
          <t>심리치료</t>
        </is>
      </c>
      <c r="G1042" s="24" t="inlineStr">
        <is>
          <t>건설현장에서 사고요인자의 심리치료 목적과 행동치료과정 및 방법에 대하여 설명하시오.</t>
        </is>
      </c>
    </row>
    <row r="1043" customFormat="1" s="1">
      <c r="A1043" s="6" t="n"/>
      <c r="B1043" s="145" t="n">
        <v>105</v>
      </c>
      <c r="C1043" s="146" t="n">
        <v>2</v>
      </c>
      <c r="D1043" s="7" t="n">
        <v>6</v>
      </c>
      <c r="E1043" s="6" t="inlineStr">
        <is>
          <t>토공</t>
        </is>
      </c>
      <c r="F1043" s="8" t="inlineStr">
        <is>
          <t>동상방지층</t>
        </is>
      </c>
      <c r="G1043" s="24" t="inlineStr">
        <is>
          <t>도로공사에서 동상방지층의 설치 필요성 및 동상방지 대책에 대하여 설명하시오.</t>
        </is>
      </c>
    </row>
    <row r="1044" customFormat="1" s="1">
      <c r="A1044" s="6" t="n"/>
      <c r="B1044" s="145" t="n">
        <v>105</v>
      </c>
      <c r="C1044" s="146" t="n">
        <v>3</v>
      </c>
      <c r="D1044" s="7" t="n">
        <v>1</v>
      </c>
      <c r="E1044" s="6" t="inlineStr">
        <is>
          <t>안전관리론</t>
        </is>
      </c>
      <c r="F1044" s="8" t="inlineStr">
        <is>
          <t>안전순찰</t>
        </is>
      </c>
      <c r="G1044" s="24" t="inlineStr">
        <is>
          <t>도심지 초고층건물 공사현장에서 재해예방을 위해 안전순찰(安全巡察) 활동을 시행하고 있다. 안전순찰 활동의 목적, 문제점 및 효과적인 활용방안에 대하여 설명하시오.</t>
        </is>
      </c>
    </row>
    <row r="1045" customFormat="1" s="1">
      <c r="A1045" s="6" t="n"/>
      <c r="B1045" s="145" t="n">
        <v>105</v>
      </c>
      <c r="C1045" s="146" t="n">
        <v>3</v>
      </c>
      <c r="D1045" s="7" t="n">
        <v>2</v>
      </c>
      <c r="E1045" s="6" t="inlineStr">
        <is>
          <t>건축</t>
        </is>
      </c>
      <c r="F1045" s="8" t="inlineStr">
        <is>
          <t>장비반입구</t>
        </is>
      </c>
      <c r="G1045" s="24" t="inlineStr">
        <is>
          <t>지하층에 설치된 기계실, 전기실 등에 장비반입과 장비교체를 위해 지상 1층 슬라브에 장비반입구를 설치할 경우 장비반입구의 위험요소와 안전한 장비반입구 설치 방안을 계획측면, 설계측면, 시공 및 관리측면으로 구분하여 설명하시오.</t>
        </is>
      </c>
    </row>
    <row r="1046" customFormat="1" s="1">
      <c r="A1046" s="6" t="n"/>
      <c r="B1046" s="145" t="n">
        <v>105</v>
      </c>
      <c r="C1046" s="146" t="n">
        <v>3</v>
      </c>
      <c r="D1046" s="7" t="n">
        <v>3</v>
      </c>
      <c r="E1046" s="6" t="inlineStr">
        <is>
          <t>제방 댐 항만</t>
        </is>
      </c>
      <c r="F1046" s="8" t="inlineStr">
        <is>
          <t>콘크리트댐 결함</t>
        </is>
      </c>
      <c r="G1046" s="24" t="inlineStr">
        <is>
          <t>공용중인(준공 후 운영) 콘크리트 댐 시설의 주요 결함 원인과 방지대책에 대하여 설명하시오.</t>
        </is>
      </c>
    </row>
    <row r="1047" customFormat="1" s="1">
      <c r="A1047" s="6" t="n"/>
      <c r="B1047" s="145" t="n">
        <v>105</v>
      </c>
      <c r="C1047" s="146" t="n">
        <v>3</v>
      </c>
      <c r="D1047" s="7" t="n">
        <v>4</v>
      </c>
      <c r="E1047" s="6" t="inlineStr">
        <is>
          <t>기초</t>
        </is>
      </c>
      <c r="F1047" s="8" t="inlineStr">
        <is>
          <t>언더피닝</t>
        </is>
      </c>
      <c r="G1047" s="24" t="inlineStr">
        <is>
          <t>기존 구조물을 보존하기 위하여 실시하는 기초보강공법인 Under pinning의 종류와 시공시 안전대책에 대하여 설명하시오.</t>
        </is>
      </c>
    </row>
    <row r="1048" customFormat="1" s="1">
      <c r="A1048" s="6" t="n"/>
      <c r="B1048" s="145" t="n">
        <v>105</v>
      </c>
      <c r="C1048" s="146" t="n">
        <v>3</v>
      </c>
      <c r="D1048" s="7" t="n">
        <v>5</v>
      </c>
      <c r="E1048" s="6" t="inlineStr">
        <is>
          <t>철골</t>
        </is>
      </c>
      <c r="F1048" s="8" t="inlineStr">
        <is>
          <t>현장접합</t>
        </is>
      </c>
      <c r="G1048" s="24" t="inlineStr">
        <is>
          <t>철골공사의 현장접합시공에서 부재간 접합(주각과 기둥, 기둥과 기둥, 보와 보, 기둥과 보)의 결함요소와 철골조립시 안전대책에 대하여 설명하시오.</t>
        </is>
      </c>
    </row>
    <row r="1049" customFormat="1" s="1">
      <c r="A1049" s="6" t="n"/>
      <c r="B1049" s="145" t="n">
        <v>105</v>
      </c>
      <c r="C1049" s="146" t="n">
        <v>3</v>
      </c>
      <c r="D1049" s="7" t="n">
        <v>6</v>
      </c>
      <c r="E1049" s="6" t="inlineStr">
        <is>
          <t>가설공사</t>
        </is>
      </c>
      <c r="F1049" s="8" t="inlineStr">
        <is>
          <t>리프트카</t>
        </is>
      </c>
      <c r="G1049" s="24" t="inlineStr">
        <is>
          <t>건설현장 수직 Lift car의 구성요소와 재해 위험요인 및 안전대책에 대하여 설명하시오.</t>
        </is>
      </c>
    </row>
    <row r="1050" customFormat="1" s="1">
      <c r="A1050" s="6" t="n"/>
      <c r="B1050" s="145" t="n">
        <v>105</v>
      </c>
      <c r="C1050" s="146" t="n">
        <v>4</v>
      </c>
      <c r="D1050" s="7" t="n">
        <v>1</v>
      </c>
      <c r="E1050" s="6" t="inlineStr">
        <is>
          <t>시설물안전법</t>
        </is>
      </c>
      <c r="F1050" s="8" t="inlineStr">
        <is>
          <t>구조물노후화</t>
        </is>
      </c>
      <c r="G1050" s="24" t="inlineStr">
        <is>
          <t>시설물의 안전관리에 관한 특별법에서 정하고 있는 콘크리트 및 강구조물의 노후화 원인, 예방대책 및 보수·보강 방안에 대하여 설명하시오.</t>
        </is>
      </c>
    </row>
    <row r="1051" customFormat="1" s="1">
      <c r="A1051" s="6" t="n"/>
      <c r="B1051" s="145" t="n">
        <v>105</v>
      </c>
      <c r="C1051" s="146" t="n">
        <v>4</v>
      </c>
      <c r="D1051" s="7" t="n">
        <v>2</v>
      </c>
      <c r="E1051" s="6" t="inlineStr">
        <is>
          <t>건축</t>
        </is>
      </c>
      <c r="F1051" s="8" t="inlineStr">
        <is>
          <t>석재건식붙임</t>
        </is>
      </c>
      <c r="G1051" s="24" t="inlineStr">
        <is>
          <t>10층 규모의 철근콘크리트 건축물 외벽을 화강석 석재판으로 마감하고자 한다. 석공사 건식붙임공법의 종류와 안전관리방안에 대하여 설명하시오.</t>
        </is>
      </c>
    </row>
    <row r="1052" customFormat="1" s="1">
      <c r="A1052" s="6" t="n"/>
      <c r="B1052" s="145" t="n">
        <v>105</v>
      </c>
      <c r="C1052" s="146" t="n">
        <v>4</v>
      </c>
      <c r="D1052" s="7" t="n">
        <v>3</v>
      </c>
      <c r="E1052" s="6" t="inlineStr">
        <is>
          <t>토공</t>
        </is>
      </c>
      <c r="F1052" s="8" t="inlineStr">
        <is>
          <t>지하굴착진동</t>
        </is>
      </c>
      <c r="G1052" s="24" t="inlineStr">
        <is>
          <t>건설현장 지하굴착 공사시 발생되는 진동발생원인과 주변에 미치는 영향 및 안전관리 대책에 대하여 설명하시오.</t>
        </is>
      </c>
    </row>
    <row r="1053" customFormat="1" s="1">
      <c r="A1053" s="6" t="n"/>
      <c r="B1053" s="145" t="n">
        <v>105</v>
      </c>
      <c r="C1053" s="146" t="n">
        <v>4</v>
      </c>
      <c r="D1053" s="7" t="n">
        <v>4</v>
      </c>
      <c r="E1053" s="6" t="inlineStr">
        <is>
          <t>산안법</t>
        </is>
      </c>
      <c r="F1053" s="8" t="inlineStr">
        <is>
          <t>안전대</t>
        </is>
      </c>
      <c r="G1053" s="24" t="inlineStr">
        <is>
          <t>건설현장에서 안전대 사용시, 보관과 보수방법 및 폐기 기준에 대하여 설명하시오.</t>
        </is>
      </c>
    </row>
    <row r="1054" customFormat="1" s="1">
      <c r="A1054" s="6" t="n"/>
      <c r="B1054" s="145" t="n">
        <v>105</v>
      </c>
      <c r="C1054" s="146" t="n">
        <v>4</v>
      </c>
      <c r="D1054" s="7" t="n">
        <v>5</v>
      </c>
      <c r="E1054" s="6" t="inlineStr">
        <is>
          <t>터널</t>
        </is>
      </c>
      <c r="F1054" s="8" t="inlineStr">
        <is>
          <t>쉴드공법_동공</t>
        </is>
      </c>
      <c r="G1054" s="24" t="inlineStr">
        <is>
          <t>석촌 지하차도에서와 같이 도심지 터널공사에서 충적층지반에 쉴드(shield)공법으로 시공시 동공발생 원인과 안정대책에 대하여 설명하시오.</t>
        </is>
      </c>
    </row>
    <row r="1055" customFormat="1" s="1">
      <c r="A1055" s="6" t="n"/>
      <c r="B1055" s="145" t="n">
        <v>105</v>
      </c>
      <c r="C1055" s="146" t="n">
        <v>4</v>
      </c>
      <c r="D1055" s="7" t="n">
        <v>6</v>
      </c>
      <c r="E1055" s="6" t="inlineStr">
        <is>
          <t>가설공사</t>
        </is>
      </c>
      <c r="F1055" s="8" t="inlineStr">
        <is>
          <t>강관쌍줄비계해체</t>
        </is>
      </c>
      <c r="G1055" s="24" t="inlineStr">
        <is>
          <t>높이 35m의 공사현장에서 외벽 강관쌍줄비계를 이용하여 마감공사를 끝내고 강관비계를 해체하고자 한다. 강관쌍줄비계 해체계획과 안전조치사항에 대하여 설명하시오.</t>
        </is>
      </c>
    </row>
    <row r="1056" customFormat="1" s="1">
      <c r="A1056" s="6" t="n">
        <v>928</v>
      </c>
      <c r="B1056" s="145" t="n">
        <v>104</v>
      </c>
      <c r="C1056" s="146" t="n">
        <v>1</v>
      </c>
      <c r="D1056" s="7" t="n">
        <v>1</v>
      </c>
      <c r="E1056" s="6" t="inlineStr">
        <is>
          <t>안전관리론</t>
        </is>
      </c>
      <c r="F1056" s="8" t="inlineStr">
        <is>
          <t>풀프루프</t>
        </is>
      </c>
      <c r="G1056" s="24" t="inlineStr">
        <is>
          <t>fool proof의 중요기구</t>
        </is>
      </c>
    </row>
    <row r="1057" customFormat="1" s="1">
      <c r="A1057" s="6" t="n">
        <v>929</v>
      </c>
      <c r="B1057" s="145" t="n">
        <v>104</v>
      </c>
      <c r="C1057" s="146" t="n">
        <v>1</v>
      </c>
      <c r="D1057" s="7" t="n">
        <v>2</v>
      </c>
      <c r="E1057" s="6" t="inlineStr">
        <is>
          <t>산안법</t>
        </is>
      </c>
      <c r="F1057" s="8" t="inlineStr">
        <is>
          <t>강도율</t>
        </is>
      </c>
      <c r="G1057" s="24" t="inlineStr">
        <is>
          <t>강도율</t>
        </is>
      </c>
    </row>
    <row r="1058" customFormat="1" s="1">
      <c r="A1058" s="6" t="n">
        <v>930</v>
      </c>
      <c r="B1058" s="145" t="n">
        <v>104</v>
      </c>
      <c r="C1058" s="146" t="n">
        <v>1</v>
      </c>
      <c r="D1058" s="7" t="n">
        <v>3</v>
      </c>
      <c r="E1058" s="6" t="inlineStr">
        <is>
          <t>시설물안전법</t>
        </is>
      </c>
      <c r="F1058" s="8" t="inlineStr">
        <is>
          <t>중요한보수보강</t>
        </is>
      </c>
      <c r="G1058" s="24" t="inlineStr">
        <is>
          <t>시설물의 안전관리에 관한 특별법령에서 규정하는 시설물의 중요한 보수·보강 범위</t>
        </is>
      </c>
    </row>
    <row r="1059" customFormat="1" s="1">
      <c r="A1059" s="6" t="n">
        <v>931</v>
      </c>
      <c r="B1059" s="145" t="n">
        <v>104</v>
      </c>
      <c r="C1059" s="146" t="n">
        <v>1</v>
      </c>
      <c r="D1059" s="7" t="n">
        <v>4</v>
      </c>
      <c r="E1059" s="6" t="inlineStr">
        <is>
          <t>기초</t>
        </is>
      </c>
      <c r="F1059" s="8" t="inlineStr">
        <is>
          <t>누진파괴</t>
        </is>
      </c>
      <c r="G1059" s="24" t="inlineStr">
        <is>
          <t>누진파괴(progressive collapse)</t>
        </is>
      </c>
    </row>
    <row r="1060" customFormat="1" s="1">
      <c r="A1060" s="6" t="n">
        <v>932</v>
      </c>
      <c r="B1060" s="145" t="n">
        <v>104</v>
      </c>
      <c r="C1060" s="146" t="n">
        <v>1</v>
      </c>
      <c r="D1060" s="7" t="n">
        <v>5</v>
      </c>
      <c r="E1060" s="6" t="inlineStr">
        <is>
          <t>시사 이슈 문제</t>
        </is>
      </c>
      <c r="F1060" s="8" t="inlineStr">
        <is>
          <t>스마트에어커튼</t>
        </is>
      </c>
      <c r="G1060" s="24" t="inlineStr">
        <is>
          <t>스마트 에어커튼 시스템(smart air curtain system)</t>
        </is>
      </c>
    </row>
    <row r="1061" customFormat="1" s="1">
      <c r="A1061" s="6" t="n">
        <v>933</v>
      </c>
      <c r="B1061" s="145" t="n">
        <v>104</v>
      </c>
      <c r="C1061" s="146" t="n">
        <v>1</v>
      </c>
      <c r="D1061" s="7" t="n">
        <v>6</v>
      </c>
      <c r="E1061" s="6" t="inlineStr">
        <is>
          <t>건설기계</t>
        </is>
      </c>
      <c r="F1061" s="8" t="inlineStr">
        <is>
          <t>와이어로프_부적격기준</t>
        </is>
      </c>
      <c r="G1061" s="24" t="inlineStr">
        <is>
          <t>wire rope의 부적격 기준과 안전계수</t>
        </is>
      </c>
    </row>
    <row r="1062" customFormat="1" s="1">
      <c r="A1062" s="6" t="n">
        <v>934</v>
      </c>
      <c r="B1062" s="145" t="n">
        <v>104</v>
      </c>
      <c r="C1062" s="146" t="n">
        <v>1</v>
      </c>
      <c r="D1062" s="7" t="n">
        <v>7</v>
      </c>
      <c r="E1062" s="6" t="inlineStr">
        <is>
          <t>건축</t>
        </is>
      </c>
      <c r="F1062" s="8" t="inlineStr">
        <is>
          <t>유리열파손</t>
        </is>
      </c>
      <c r="G1062" s="24" t="inlineStr">
        <is>
          <t>유리 열파손</t>
        </is>
      </c>
    </row>
    <row r="1063" customFormat="1" s="1">
      <c r="A1063" s="6" t="n">
        <v>935</v>
      </c>
      <c r="B1063" s="145" t="n">
        <v>104</v>
      </c>
      <c r="C1063" s="146" t="n">
        <v>1</v>
      </c>
      <c r="D1063" s="7" t="n">
        <v>8</v>
      </c>
      <c r="E1063" s="6" t="inlineStr">
        <is>
          <t>산안법</t>
        </is>
      </c>
      <c r="F1063" s="8" t="inlineStr">
        <is>
          <t>건설현장실명제</t>
        </is>
      </c>
      <c r="G1063" s="24" t="inlineStr">
        <is>
          <t>건설현장 실명제</t>
        </is>
      </c>
    </row>
    <row r="1064" customFormat="1" s="1">
      <c r="A1064" s="6" t="n">
        <v>936</v>
      </c>
      <c r="B1064" s="145" t="n">
        <v>104</v>
      </c>
      <c r="C1064" s="146" t="n">
        <v>1</v>
      </c>
      <c r="D1064" s="7" t="n">
        <v>9</v>
      </c>
      <c r="E1064" s="6" t="inlineStr">
        <is>
          <t>토공</t>
        </is>
      </c>
      <c r="F1064" s="8" t="inlineStr">
        <is>
          <t>토량환산계수</t>
        </is>
      </c>
      <c r="G1064" s="24" t="inlineStr">
        <is>
          <t>토량 환산계수(f)와 토량 변화률 L값, C값</t>
        </is>
      </c>
    </row>
    <row r="1065" customFormat="1" s="1">
      <c r="A1065" s="6" t="n">
        <v>937</v>
      </c>
      <c r="B1065" s="145" t="n">
        <v>104</v>
      </c>
      <c r="C1065" s="146" t="n">
        <v>1</v>
      </c>
      <c r="D1065" s="7" t="n">
        <v>10</v>
      </c>
      <c r="E1065" s="6" t="inlineStr">
        <is>
          <t>산안법</t>
        </is>
      </c>
      <c r="F1065" s="8" t="inlineStr">
        <is>
          <t>방진마스크</t>
        </is>
      </c>
      <c r="G1065" s="24" t="inlineStr">
        <is>
          <t>방진마스크의 종류 및 안전기준</t>
        </is>
      </c>
    </row>
    <row r="1066" customFormat="1" s="1">
      <c r="A1066" s="6" t="n">
        <v>938</v>
      </c>
      <c r="B1066" s="145" t="n">
        <v>104</v>
      </c>
      <c r="C1066" s="146" t="n">
        <v>1</v>
      </c>
      <c r="D1066" s="7" t="n">
        <v>11</v>
      </c>
      <c r="E1066" s="6" t="inlineStr">
        <is>
          <t>콘크리트</t>
        </is>
      </c>
      <c r="F1066" s="8" t="inlineStr">
        <is>
          <t>시공배합_현장배합</t>
        </is>
      </c>
      <c r="G1066" s="24" t="inlineStr">
        <is>
          <t>시공배합과 현장배합</t>
        </is>
      </c>
    </row>
    <row r="1067" customFormat="1" s="1">
      <c r="A1067" s="6" t="n">
        <v>939</v>
      </c>
      <c r="B1067" s="145" t="n">
        <v>104</v>
      </c>
      <c r="C1067" s="146" t="n">
        <v>1</v>
      </c>
      <c r="D1067" s="7" t="n">
        <v>12</v>
      </c>
      <c r="E1067" s="6" t="inlineStr">
        <is>
          <t>건설기계</t>
        </is>
      </c>
      <c r="F1067" s="8" t="inlineStr">
        <is>
          <t>리프트_안전장치</t>
        </is>
      </c>
      <c r="G1067" s="24" t="inlineStr">
        <is>
          <t>리프트 안전장치</t>
        </is>
      </c>
    </row>
    <row r="1068" customFormat="1" s="1">
      <c r="A1068" s="6" t="n">
        <v>940</v>
      </c>
      <c r="B1068" s="145" t="n">
        <v>104</v>
      </c>
      <c r="C1068" s="146" t="n">
        <v>1</v>
      </c>
      <c r="D1068" s="7" t="n">
        <v>13</v>
      </c>
      <c r="E1068" s="6" t="inlineStr">
        <is>
          <t>기초</t>
        </is>
      </c>
      <c r="F1068" s="8" t="inlineStr">
        <is>
          <t>어스앵커자유장</t>
        </is>
      </c>
      <c r="G1068" s="24" t="inlineStr">
        <is>
          <t>어스앙카 자유장(earth anchor free length)의 역할</t>
        </is>
      </c>
    </row>
    <row r="1069" customFormat="1" s="1">
      <c r="A1069" s="6" t="n">
        <v>941</v>
      </c>
      <c r="B1069" s="145" t="n">
        <v>104</v>
      </c>
      <c r="C1069" s="146" t="n">
        <v>2</v>
      </c>
      <c r="D1069" s="7" t="n">
        <v>1</v>
      </c>
      <c r="E1069" s="6" t="inlineStr">
        <is>
          <t>가설공사</t>
        </is>
      </c>
      <c r="F1069" s="8" t="inlineStr">
        <is>
          <t>거푸집동바리_구조검토</t>
        </is>
      </c>
      <c r="G1069" s="24" t="inlineStr">
        <is>
          <t>철근콘크리트 공사에서 거푸집 및 동바리의 구조검토 순서와 거푸집 시공 허용오차에 대하여 설명하시오.</t>
        </is>
      </c>
    </row>
    <row r="1070" customFormat="1" s="1">
      <c r="A1070" s="6" t="n">
        <v>942</v>
      </c>
      <c r="B1070" s="145" t="n">
        <v>104</v>
      </c>
      <c r="C1070" s="146" t="n">
        <v>2</v>
      </c>
      <c r="D1070" s="7" t="n">
        <v>2</v>
      </c>
      <c r="E1070" s="6" t="inlineStr">
        <is>
          <t>강재</t>
        </is>
      </c>
      <c r="F1070" s="8" t="inlineStr">
        <is>
          <t>용접_건강장해</t>
        </is>
      </c>
      <c r="G1070" s="24" t="inlineStr">
        <is>
          <t>건설현장에서 용접작업 시 발생하는 건강장해 원인과 전기 용접작업의 안전대책에 대하여 설명하시오.</t>
        </is>
      </c>
    </row>
    <row r="1071" customFormat="1" s="1">
      <c r="A1071" s="6" t="n">
        <v>943</v>
      </c>
      <c r="B1071" s="145" t="n">
        <v>104</v>
      </c>
      <c r="C1071" s="146" t="n">
        <v>2</v>
      </c>
      <c r="D1071" s="7" t="n">
        <v>3</v>
      </c>
      <c r="E1071" s="6" t="inlineStr">
        <is>
          <t>건축</t>
        </is>
      </c>
      <c r="F1071" s="8" t="inlineStr">
        <is>
          <t>층간소음</t>
        </is>
      </c>
      <c r="G1071" s="24" t="inlineStr">
        <is>
          <t>공동주택에서 발생하는 층간소음 방지대책에 대하여 설명하시오.</t>
        </is>
      </c>
    </row>
    <row r="1072" customFormat="1" s="1">
      <c r="A1072" s="6" t="n">
        <v>944</v>
      </c>
      <c r="B1072" s="145" t="n">
        <v>104</v>
      </c>
      <c r="C1072" s="146" t="n">
        <v>2</v>
      </c>
      <c r="D1072" s="7" t="n">
        <v>4</v>
      </c>
      <c r="E1072" s="6" t="inlineStr">
        <is>
          <t>토공</t>
        </is>
      </c>
      <c r="F1072" s="8" t="inlineStr">
        <is>
          <t>포트홀</t>
        </is>
      </c>
      <c r="G1072" s="24" t="inlineStr">
        <is>
          <t>아스팔트 콘크리트 포장도로에서 포트홀(pot hole)의 발생원인과 발생과정 및 방지대책에 대하여 설명하시오.</t>
        </is>
      </c>
    </row>
    <row r="1073" customFormat="1" s="1">
      <c r="A1073" s="6" t="n">
        <v>945</v>
      </c>
      <c r="B1073" s="145" t="n">
        <v>104</v>
      </c>
      <c r="C1073" s="146" t="n">
        <v>2</v>
      </c>
      <c r="D1073" s="7" t="n">
        <v>5</v>
      </c>
      <c r="E1073" s="6" t="inlineStr">
        <is>
          <t>콘크리트</t>
        </is>
      </c>
      <c r="F1073" s="8" t="inlineStr">
        <is>
          <t>콘크리트_압송타설</t>
        </is>
      </c>
      <c r="G1073" s="24" t="inlineStr">
        <is>
          <t>콘크리트 펌프를 이용한 압송타설시 작업 중 유의사항과 안전대책에 대하여 설명하시오.</t>
        </is>
      </c>
    </row>
    <row r="1074" customFormat="1" s="1">
      <c r="A1074" s="6" t="n">
        <v>946</v>
      </c>
      <c r="B1074" s="145" t="n">
        <v>104</v>
      </c>
      <c r="C1074" s="146" t="n">
        <v>2</v>
      </c>
      <c r="D1074" s="7" t="n">
        <v>6</v>
      </c>
      <c r="E1074" s="6" t="inlineStr">
        <is>
          <t>토공</t>
        </is>
      </c>
      <c r="F1074" s="8" t="inlineStr">
        <is>
          <t>토사사면붕괴</t>
        </is>
      </c>
      <c r="G1074" s="24" t="inlineStr">
        <is>
          <t>토사사면의 붕괴 형태와 굴착면의 붕괴원인 및 안전대책에 대하여 설명하시오</t>
        </is>
      </c>
    </row>
    <row r="1075" customFormat="1" s="1">
      <c r="A1075" s="6" t="n">
        <v>947</v>
      </c>
      <c r="B1075" s="145" t="n">
        <v>104</v>
      </c>
      <c r="C1075" s="146" t="n">
        <v>3</v>
      </c>
      <c r="D1075" s="7" t="n">
        <v>1</v>
      </c>
      <c r="E1075" s="6" t="inlineStr">
        <is>
          <t>콘크리트</t>
        </is>
      </c>
      <c r="F1075" s="8" t="inlineStr">
        <is>
          <t>콘크리트중성화</t>
        </is>
      </c>
      <c r="G1075" s="24" t="inlineStr">
        <is>
          <t>콘크리트 구조물의 중성화 발생원인, 조사과정, 시험방법에 대하여 설명하시오.</t>
        </is>
      </c>
    </row>
    <row r="1076" customFormat="1" s="1">
      <c r="A1076" s="6" t="n">
        <v>948</v>
      </c>
      <c r="B1076" s="145" t="n">
        <v>104</v>
      </c>
      <c r="C1076" s="146" t="n">
        <v>3</v>
      </c>
      <c r="D1076" s="7" t="n">
        <v>2</v>
      </c>
      <c r="E1076" s="6" t="inlineStr">
        <is>
          <t>산안법</t>
        </is>
      </c>
      <c r="F1076" s="8" t="inlineStr">
        <is>
          <t>정부책무_사업주의무</t>
        </is>
      </c>
      <c r="G1076" s="24" t="inlineStr">
        <is>
          <t>산업안전보건법령에서 정하는 정부의 책무, 사업주의 의무, 근로자의 의무에 대하여 설명하시오.</t>
        </is>
      </c>
    </row>
    <row r="1077" customFormat="1" s="1">
      <c r="A1077" s="6" t="n">
        <v>949</v>
      </c>
      <c r="B1077" s="145" t="n">
        <v>104</v>
      </c>
      <c r="C1077" s="146" t="n">
        <v>3</v>
      </c>
      <c r="D1077" s="7" t="n">
        <v>3</v>
      </c>
      <c r="E1077" s="6" t="inlineStr">
        <is>
          <t>기타</t>
        </is>
      </c>
      <c r="F1077" s="8" t="inlineStr">
        <is>
          <t>로드킬_생태통로</t>
        </is>
      </c>
      <c r="G1077" s="24" t="inlineStr">
        <is>
          <t>도로건설 등으로 인한 생태환경 변화에 따라 발생하는 로드킬(road kill)의 원인과 생태통로의 설치(eco-bridge)유형 및 모니터링 관리에 대하여 설명하시오.</t>
        </is>
      </c>
    </row>
    <row r="1078" customFormat="1" s="1">
      <c r="A1078" s="6" t="n">
        <v>950</v>
      </c>
      <c r="B1078" s="145" t="n">
        <v>104</v>
      </c>
      <c r="C1078" s="146" t="n">
        <v>3</v>
      </c>
      <c r="D1078" s="7" t="n">
        <v>4</v>
      </c>
      <c r="E1078" s="6" t="inlineStr">
        <is>
          <t>철골</t>
        </is>
      </c>
      <c r="F1078" s="8" t="inlineStr">
        <is>
          <t>철골공사_안전대책</t>
        </is>
      </c>
      <c r="G1078" s="24" t="inlineStr">
        <is>
          <t>도심지 고층건물의 철골공사 시 안전대책과 필요한 재해 방지설비에 대하여 설명 하시오.</t>
        </is>
      </c>
    </row>
    <row r="1079" customFormat="1" s="1">
      <c r="A1079" s="6" t="n">
        <v>951</v>
      </c>
      <c r="B1079" s="145" t="n">
        <v>104</v>
      </c>
      <c r="C1079" s="146" t="n">
        <v>3</v>
      </c>
      <c r="D1079" s="7" t="n">
        <v>5</v>
      </c>
      <c r="E1079" s="6" t="inlineStr">
        <is>
          <t>터널</t>
        </is>
      </c>
      <c r="F1079" s="8" t="inlineStr">
        <is>
          <t>터널화재_안전기준</t>
        </is>
      </c>
      <c r="G1079" s="24" t="inlineStr">
        <is>
          <t>도로터널에서 구비되어야 할 화재 안전기준에 대하여 설명하시오.</t>
        </is>
      </c>
    </row>
    <row r="1080" customFormat="1" s="1">
      <c r="A1080" s="6" t="n">
        <v>952</v>
      </c>
      <c r="B1080" s="145" t="n">
        <v>104</v>
      </c>
      <c r="C1080" s="146" t="n">
        <v>3</v>
      </c>
      <c r="D1080" s="7" t="n">
        <v>6</v>
      </c>
      <c r="E1080" s="6" t="inlineStr">
        <is>
          <t>건축</t>
        </is>
      </c>
      <c r="F1080" s="8" t="inlineStr">
        <is>
          <t>도장공사_재해</t>
        </is>
      </c>
      <c r="G1080" s="24" t="inlineStr">
        <is>
          <t>건설현장에서 도장공사 중 발생할 수 있는 재해의 유형과 원인 및 안전대책에 대하여 설명하시오.</t>
        </is>
      </c>
    </row>
    <row r="1081" customFormat="1" s="1">
      <c r="A1081" s="6" t="n">
        <v>953</v>
      </c>
      <c r="B1081" s="145" t="n">
        <v>104</v>
      </c>
      <c r="C1081" s="146" t="n">
        <v>4</v>
      </c>
      <c r="D1081" s="7" t="n">
        <v>1</v>
      </c>
      <c r="E1081" s="6" t="inlineStr">
        <is>
          <t>가설공사</t>
        </is>
      </c>
      <c r="F1081" s="8" t="inlineStr">
        <is>
          <t>가설비계_구조검토</t>
        </is>
      </c>
      <c r="G1081" s="24" t="inlineStr">
        <is>
          <t>건설현장에서 가설비계의 구조검토와 주요 사고원인 및 안전대책에 대하여 설명하시오.</t>
        </is>
      </c>
    </row>
    <row r="1082" customFormat="1" s="1">
      <c r="A1082" s="6" t="n">
        <v>954</v>
      </c>
      <c r="B1082" s="145" t="n">
        <v>104</v>
      </c>
      <c r="C1082" s="146" t="n">
        <v>4</v>
      </c>
      <c r="D1082" s="7" t="n">
        <v>2</v>
      </c>
      <c r="E1082" s="6" t="inlineStr">
        <is>
          <t>시설물안전법</t>
        </is>
      </c>
      <c r="F1082" s="8" t="inlineStr">
        <is>
          <t>사고사례원인분석</t>
        </is>
      </c>
      <c r="G1082" s="24" t="inlineStr">
        <is>
          <t>시설물 사고사례 원인분석에 의한 계획, 설계, 시공, 사용 등의 단계별 오류내용에 대하여 설명하시오.</t>
        </is>
      </c>
    </row>
    <row r="1083" customFormat="1" s="1">
      <c r="A1083" s="6" t="n">
        <v>955</v>
      </c>
      <c r="B1083" s="145" t="n">
        <v>104</v>
      </c>
      <c r="C1083" s="146" t="n">
        <v>4</v>
      </c>
      <c r="D1083" s="7" t="n">
        <v>3</v>
      </c>
      <c r="E1083" s="6" t="inlineStr">
        <is>
          <t>철골</t>
        </is>
      </c>
      <c r="F1083" s="8" t="inlineStr">
        <is>
          <t>리프트업공법</t>
        </is>
      </c>
      <c r="G1083" s="24" t="inlineStr">
        <is>
          <t>철골의 현장 건립공법에서 리프트업 공법 시공 시 안전대책에 대하여 설명하시오.</t>
        </is>
      </c>
    </row>
    <row r="1084" customFormat="1" s="1">
      <c r="A1084" s="6" t="n">
        <v>956</v>
      </c>
      <c r="B1084" s="145" t="n">
        <v>104</v>
      </c>
      <c r="C1084" s="146" t="n">
        <v>4</v>
      </c>
      <c r="D1084" s="7" t="n">
        <v>4</v>
      </c>
      <c r="E1084" s="6" t="inlineStr">
        <is>
          <t>건설기계</t>
        </is>
      </c>
      <c r="F1084" s="8" t="inlineStr">
        <is>
          <t>차량계건설기계</t>
        </is>
      </c>
      <c r="G1084" s="24" t="inlineStr">
        <is>
          <t>차량계 건설기계의 종류와 재해 유형 및 안전대책에 대하여 설명하시오.</t>
        </is>
      </c>
    </row>
    <row r="1085" customFormat="1" s="1">
      <c r="A1085" s="6" t="n">
        <v>957</v>
      </c>
      <c r="B1085" s="145" t="n">
        <v>104</v>
      </c>
      <c r="C1085" s="146" t="n">
        <v>4</v>
      </c>
      <c r="D1085" s="7" t="n">
        <v>5</v>
      </c>
      <c r="E1085" s="6" t="inlineStr">
        <is>
          <t>제방 댐 항만</t>
        </is>
      </c>
      <c r="F1085" s="8" t="inlineStr">
        <is>
          <t>하천_수도시설손상</t>
        </is>
      </c>
      <c r="G1085" s="24" t="inlineStr">
        <is>
          <t>공용 중인 하천 및 수도시설의 주요 손상 원인과 방지대책에 대하여 설명하시오.</t>
        </is>
      </c>
    </row>
    <row r="1086" customFormat="1" s="1">
      <c r="A1086" s="6" t="n">
        <v>958</v>
      </c>
      <c r="B1086" s="145" t="n">
        <v>104</v>
      </c>
      <c r="C1086" s="146" t="n">
        <v>4</v>
      </c>
      <c r="D1086" s="7" t="n">
        <v>6</v>
      </c>
      <c r="E1086" s="6" t="inlineStr">
        <is>
          <t>교량</t>
        </is>
      </c>
      <c r="F1086" s="8" t="inlineStr">
        <is>
          <t>교량받침_교좌장치</t>
        </is>
      </c>
      <c r="G1086" s="24" t="inlineStr">
        <is>
          <t>교량공사에서 교량받침(교좌장치)의 파손원인 및 대책과 부반력 발생 시 안전대책에 대하여 설명하시오.</t>
        </is>
      </c>
    </row>
    <row r="1087" customFormat="1" s="1">
      <c r="A1087" s="6" t="n">
        <v>897</v>
      </c>
      <c r="B1087" s="145" t="n">
        <v>103</v>
      </c>
      <c r="C1087" s="146" t="n">
        <v>1</v>
      </c>
      <c r="D1087" s="7" t="n">
        <v>1</v>
      </c>
      <c r="E1087" s="6" t="inlineStr">
        <is>
          <t>안전관리론</t>
        </is>
      </c>
      <c r="F1087" s="8" t="inlineStr">
        <is>
          <t>적극안전</t>
        </is>
      </c>
      <c r="G1087" s="24" t="inlineStr">
        <is>
          <t>적극안전(Positive Safety)</t>
        </is>
      </c>
    </row>
    <row r="1088" customFormat="1" s="1">
      <c r="A1088" s="6" t="n">
        <v>898</v>
      </c>
      <c r="B1088" s="145" t="n">
        <v>103</v>
      </c>
      <c r="C1088" s="146" t="n">
        <v>1</v>
      </c>
      <c r="D1088" s="7" t="n">
        <v>2</v>
      </c>
      <c r="E1088" s="6" t="inlineStr">
        <is>
          <t>안전관리론</t>
        </is>
      </c>
      <c r="F1088" s="8" t="inlineStr">
        <is>
          <t>페일세이프</t>
        </is>
      </c>
      <c r="G1088" s="24" t="inlineStr">
        <is>
          <t>페일 세이프(Fail Safe)</t>
        </is>
      </c>
    </row>
    <row r="1089" customFormat="1" s="1">
      <c r="A1089" s="6" t="n">
        <v>899</v>
      </c>
      <c r="B1089" s="145" t="n">
        <v>103</v>
      </c>
      <c r="C1089" s="146" t="n">
        <v>1</v>
      </c>
      <c r="D1089" s="7" t="n">
        <v>3</v>
      </c>
      <c r="E1089" s="6" t="inlineStr">
        <is>
          <t>산안법</t>
        </is>
      </c>
      <c r="F1089" s="8" t="inlineStr">
        <is>
          <t>도급사업_안전보건조치</t>
        </is>
      </c>
      <c r="G1089" s="24" t="inlineStr">
        <is>
          <t>산업안전보건법령상 도급사업에서의 안전·보건 조치사항</t>
        </is>
      </c>
    </row>
    <row r="1090" customFormat="1" s="1">
      <c r="A1090" s="6" t="n">
        <v>900</v>
      </c>
      <c r="B1090" s="145" t="n">
        <v>103</v>
      </c>
      <c r="C1090" s="146" t="n">
        <v>1</v>
      </c>
      <c r="D1090" s="7" t="n">
        <v>4</v>
      </c>
      <c r="E1090" s="6" t="inlineStr">
        <is>
          <t>기초</t>
        </is>
      </c>
      <c r="F1090" s="8" t="inlineStr">
        <is>
          <t>철탑구조물_심형기초</t>
        </is>
      </c>
      <c r="G1090" s="24" t="inlineStr">
        <is>
          <t>철탑구조물의 심형기초공사</t>
        </is>
      </c>
    </row>
    <row r="1091" customFormat="1" s="1">
      <c r="A1091" s="6" t="n">
        <v>901</v>
      </c>
      <c r="B1091" s="145" t="n">
        <v>103</v>
      </c>
      <c r="C1091" s="146" t="n">
        <v>1</v>
      </c>
      <c r="D1091" s="7" t="n">
        <v>5</v>
      </c>
      <c r="E1091" s="6" t="inlineStr">
        <is>
          <t>안전관리론</t>
        </is>
      </c>
      <c r="F1091" s="8" t="inlineStr">
        <is>
          <t>CDM제도</t>
        </is>
      </c>
      <c r="G1091" s="24" t="inlineStr">
        <is>
          <t>CDM(Construction Design Management) 제도상의 참여주체</t>
        </is>
      </c>
    </row>
    <row r="1092" customFormat="1" s="1">
      <c r="A1092" s="6" t="n">
        <v>902</v>
      </c>
      <c r="B1092" s="145" t="n">
        <v>103</v>
      </c>
      <c r="C1092" s="146" t="n">
        <v>1</v>
      </c>
      <c r="D1092" s="7" t="n">
        <v>6</v>
      </c>
      <c r="E1092" s="6" t="inlineStr">
        <is>
          <t>안전관리론</t>
        </is>
      </c>
      <c r="F1092" s="8" t="inlineStr">
        <is>
          <t>안전교육단계</t>
        </is>
      </c>
      <c r="G1092" s="24" t="inlineStr">
        <is>
          <t>안전교육 3단계와 안전교육법 4단계</t>
        </is>
      </c>
    </row>
    <row r="1093" customFormat="1" s="1">
      <c r="A1093" s="6" t="n">
        <v>903</v>
      </c>
      <c r="B1093" s="145" t="n">
        <v>103</v>
      </c>
      <c r="C1093" s="146" t="n">
        <v>1</v>
      </c>
      <c r="D1093" s="7" t="n">
        <v>7</v>
      </c>
      <c r="E1093" s="6" t="inlineStr">
        <is>
          <t>가설공사</t>
        </is>
      </c>
      <c r="F1093" s="8" t="inlineStr">
        <is>
          <t>추락방지망</t>
        </is>
      </c>
      <c r="G1093" s="24" t="inlineStr">
        <is>
          <t>추락방지망 설치기준</t>
        </is>
      </c>
    </row>
    <row r="1094" customFormat="1" s="1">
      <c r="A1094" s="6" t="n">
        <v>904</v>
      </c>
      <c r="B1094" s="145" t="n">
        <v>103</v>
      </c>
      <c r="C1094" s="146" t="n">
        <v>1</v>
      </c>
      <c r="D1094" s="7" t="n">
        <v>8</v>
      </c>
      <c r="E1094" s="6" t="inlineStr">
        <is>
          <t>기초</t>
        </is>
      </c>
      <c r="F1094" s="8" t="inlineStr">
        <is>
          <t>PDA</t>
        </is>
      </c>
      <c r="G1094" s="24" t="inlineStr">
        <is>
          <t>PDA(Pile Driving Analyzer)</t>
        </is>
      </c>
    </row>
    <row r="1095" customFormat="1" s="1">
      <c r="A1095" s="6" t="n">
        <v>905</v>
      </c>
      <c r="B1095" s="145" t="n">
        <v>103</v>
      </c>
      <c r="C1095" s="146" t="n">
        <v>1</v>
      </c>
      <c r="D1095" s="7" t="n">
        <v>9</v>
      </c>
      <c r="E1095" s="6" t="inlineStr">
        <is>
          <t>콘크리트</t>
        </is>
      </c>
      <c r="F1095" s="8" t="inlineStr">
        <is>
          <t>철근부동태막</t>
        </is>
      </c>
      <c r="G1095" s="24" t="inlineStr">
        <is>
          <t>철근의 부동태막</t>
        </is>
      </c>
    </row>
    <row r="1096" customFormat="1" s="1">
      <c r="A1096" s="6" t="n">
        <v>906</v>
      </c>
      <c r="B1096" s="145" t="n">
        <v>103</v>
      </c>
      <c r="C1096" s="146" t="n">
        <v>1</v>
      </c>
      <c r="D1096" s="7" t="n">
        <v>10</v>
      </c>
      <c r="E1096" s="6" t="inlineStr">
        <is>
          <t>산안법</t>
        </is>
      </c>
      <c r="F1096" s="8" t="inlineStr">
        <is>
          <t>재해예방활동실적평가</t>
        </is>
      </c>
      <c r="G1096" s="24" t="inlineStr">
        <is>
          <t>건설업체의 산업재해예방활동 실적 평가기준</t>
        </is>
      </c>
    </row>
    <row r="1097" customFormat="1" s="1">
      <c r="A1097" s="6" t="n">
        <v>907</v>
      </c>
      <c r="B1097" s="145" t="n">
        <v>103</v>
      </c>
      <c r="C1097" s="146" t="n">
        <v>1</v>
      </c>
      <c r="D1097" s="7" t="n">
        <v>11</v>
      </c>
      <c r="E1097" s="6" t="inlineStr">
        <is>
          <t>기초</t>
        </is>
      </c>
      <c r="F1097" s="8" t="inlineStr">
        <is>
          <t>선반식옹벽</t>
        </is>
      </c>
      <c r="G1097" s="24" t="inlineStr">
        <is>
          <t>선반식 옹벽</t>
        </is>
      </c>
    </row>
    <row r="1098" customFormat="1" s="1">
      <c r="A1098" s="6" t="n">
        <v>908</v>
      </c>
      <c r="B1098" s="145" t="n">
        <v>103</v>
      </c>
      <c r="C1098" s="146" t="n">
        <v>1</v>
      </c>
      <c r="D1098" s="7" t="n">
        <v>12</v>
      </c>
      <c r="E1098" s="6" t="inlineStr">
        <is>
          <t>가설공사</t>
        </is>
      </c>
      <c r="F1098" s="8" t="inlineStr">
        <is>
          <t>비계_벽이음</t>
        </is>
      </c>
      <c r="G1098" s="24" t="inlineStr">
        <is>
          <t>비계구조물에 설치된 벽이음의 작용력</t>
        </is>
      </c>
    </row>
    <row r="1099" customFormat="1" s="1">
      <c r="A1099" s="6" t="n">
        <v>909</v>
      </c>
      <c r="B1099" s="145" t="n">
        <v>103</v>
      </c>
      <c r="C1099" s="146" t="n">
        <v>1</v>
      </c>
      <c r="D1099" s="7" t="n">
        <v>13</v>
      </c>
      <c r="E1099" s="6" t="inlineStr">
        <is>
          <t>산안법</t>
        </is>
      </c>
      <c r="F1099" s="8" t="inlineStr">
        <is>
          <t>안전벨트_충격력</t>
        </is>
      </c>
      <c r="G1099" s="24" t="inlineStr">
        <is>
          <t>안전벨트 착용상태에서 추락 시 작업자 허리에 부하되는 충격력 산정에 필요한 요소</t>
        </is>
      </c>
    </row>
    <row r="1100" customFormat="1" s="1">
      <c r="A1100" s="6" t="n">
        <v>910</v>
      </c>
      <c r="B1100" s="145" t="n">
        <v>103</v>
      </c>
      <c r="C1100" s="146" t="n">
        <v>2</v>
      </c>
      <c r="D1100" s="7" t="n">
        <v>1</v>
      </c>
      <c r="E1100" s="6" t="inlineStr">
        <is>
          <t>건축</t>
        </is>
      </c>
      <c r="F1100" s="8" t="inlineStr">
        <is>
          <t>파이프라인_공기압테스트</t>
        </is>
      </c>
      <c r="G1100" s="24" t="inlineStr">
        <is>
          <t>10층 이상 규모의 건물 내 배관설비 대구경 파이프라인에 대한 공기압테스트 방법과 위험성에 대하여 설명하시오.</t>
        </is>
      </c>
    </row>
    <row r="1101" customFormat="1" s="1">
      <c r="A1101" s="6" t="n">
        <v>911</v>
      </c>
      <c r="B1101" s="145" t="n">
        <v>103</v>
      </c>
      <c r="C1101" s="146" t="n">
        <v>2</v>
      </c>
      <c r="D1101" s="7" t="n">
        <v>2</v>
      </c>
      <c r="E1101" s="6" t="inlineStr">
        <is>
          <t>가설공사</t>
        </is>
      </c>
      <c r="F1101" s="8" t="inlineStr">
        <is>
          <t>거푸집낙하</t>
        </is>
      </c>
      <c r="G1101" s="24" t="inlineStr">
        <is>
          <t>초고층건물에서 거푸집낙하의 잠재위험요인 및 사고방지대책에 대하여 설명하시오.</t>
        </is>
      </c>
    </row>
    <row r="1102" customFormat="1" s="1">
      <c r="A1102" s="6" t="n">
        <v>912</v>
      </c>
      <c r="B1102" s="145" t="n">
        <v>103</v>
      </c>
      <c r="C1102" s="146" t="n">
        <v>2</v>
      </c>
      <c r="D1102" s="7" t="n">
        <v>3</v>
      </c>
      <c r="E1102" s="6" t="inlineStr">
        <is>
          <t>콘크리트</t>
        </is>
      </c>
      <c r="F1102" s="8" t="inlineStr">
        <is>
          <t>콘크리트_표준안전작업지침</t>
        </is>
      </c>
      <c r="G1102" s="24" t="inlineStr">
        <is>
          <t>철근콘크리트공사에서 콘크리트공사 표준안전작업지침에 대하여 설명하시오.</t>
        </is>
      </c>
    </row>
    <row r="1103" customFormat="1" s="1">
      <c r="A1103" s="6" t="n">
        <v>913</v>
      </c>
      <c r="B1103" s="145" t="n">
        <v>103</v>
      </c>
      <c r="C1103" s="146" t="n">
        <v>2</v>
      </c>
      <c r="D1103" s="7" t="n">
        <v>4</v>
      </c>
      <c r="E1103" s="6" t="inlineStr">
        <is>
          <t>시설물안전법</t>
        </is>
      </c>
      <c r="F1103" s="8" t="inlineStr">
        <is>
          <t>안전관리계획_설계변경</t>
        </is>
      </c>
      <c r="G1103" s="24" t="inlineStr">
        <is>
          <t>시설물의 안전관리에 관한 특별법령상 건설공사에서 안전 관리계획 수립 대상공사와 작성(포함)내용을 설명하고, 산업안전보건법 시행령에 규정한 설계변경 요청대상 및 전문가의 범위를 설명하시오.</t>
        </is>
      </c>
    </row>
    <row r="1104" customFormat="1" s="1">
      <c r="A1104" s="6" t="n">
        <v>914</v>
      </c>
      <c r="B1104" s="145" t="n">
        <v>103</v>
      </c>
      <c r="C1104" s="146" t="n">
        <v>2</v>
      </c>
      <c r="D1104" s="7" t="n">
        <v>5</v>
      </c>
      <c r="E1104" s="6" t="inlineStr">
        <is>
          <t>기초</t>
        </is>
      </c>
      <c r="F1104" s="8" t="inlineStr">
        <is>
          <t>굴착공사_가스관보호</t>
        </is>
      </c>
      <c r="G1104" s="24" t="inlineStr">
        <is>
          <t>굴착공사 시 각종 가스관의 보호조치 및 가스누출 시 취해야 할 조치사항에 대하여 설명하시오.</t>
        </is>
      </c>
    </row>
    <row r="1105" customFormat="1" s="1">
      <c r="A1105" s="6" t="n">
        <v>915</v>
      </c>
      <c r="B1105" s="145" t="n">
        <v>103</v>
      </c>
      <c r="C1105" s="146" t="n">
        <v>2</v>
      </c>
      <c r="D1105" s="7" t="n">
        <v>6</v>
      </c>
      <c r="E1105" s="6" t="inlineStr">
        <is>
          <t>가설공사</t>
        </is>
      </c>
      <c r="F1105" s="8" t="inlineStr">
        <is>
          <t>가설구조물_하중</t>
        </is>
      </c>
      <c r="G1105" s="24" t="inlineStr">
        <is>
          <t>건설현장의 가설구조물에 작용하는 하중에 대하여 설명하시오.</t>
        </is>
      </c>
    </row>
    <row r="1106" customFormat="1" s="1">
      <c r="A1106" s="6" t="n">
        <v>916</v>
      </c>
      <c r="B1106" s="145" t="n">
        <v>103</v>
      </c>
      <c r="C1106" s="146" t="n">
        <v>3</v>
      </c>
      <c r="D1106" s="7" t="n">
        <v>1</v>
      </c>
      <c r="E1106" s="6" t="inlineStr">
        <is>
          <t>재해유형</t>
        </is>
      </c>
      <c r="F1106" s="8" t="inlineStr">
        <is>
          <t>초고층화재_대피</t>
        </is>
      </c>
      <c r="G1106" s="24" t="inlineStr">
        <is>
          <t>초고층아파트에서 화재 시 잠재적 대피방해요인을 쓰고, 일반적인 대피방법에 대하여 설명하시오.</t>
        </is>
      </c>
    </row>
    <row r="1107" customFormat="1" s="1">
      <c r="A1107" s="6" t="n">
        <v>917</v>
      </c>
      <c r="B1107" s="145" t="n">
        <v>103</v>
      </c>
      <c r="C1107" s="146" t="n">
        <v>3</v>
      </c>
      <c r="D1107" s="7" t="n">
        <v>2</v>
      </c>
      <c r="E1107" s="6" t="inlineStr">
        <is>
          <t>기초</t>
        </is>
      </c>
      <c r="F1107" s="8" t="inlineStr">
        <is>
          <t>흙막이_편토압</t>
        </is>
      </c>
      <c r="G1107" s="24" t="inlineStr">
        <is>
          <t>경사지 지반에서 굴착공사 시 흙막이지보공에 대한 편토압 부하요인들과 사고우려 방지대책을 설명하시오.</t>
        </is>
      </c>
    </row>
    <row r="1108" customFormat="1" s="1">
      <c r="A1108" s="6" t="n">
        <v>918</v>
      </c>
      <c r="B1108" s="145" t="n">
        <v>103</v>
      </c>
      <c r="C1108" s="146" t="n">
        <v>3</v>
      </c>
      <c r="D1108" s="7" t="n">
        <v>3</v>
      </c>
      <c r="E1108" s="6" t="inlineStr">
        <is>
          <t>터널</t>
        </is>
      </c>
      <c r="F1108" s="8" t="inlineStr">
        <is>
          <t>비개착횡단공법_TRcM</t>
        </is>
      </c>
      <c r="G1108" s="24" t="inlineStr">
        <is>
          <t>공용중인 도로 및 철도노반 하부를 통과하는 비개착 횡단공법의 종류별 개요를 설명 하고, 대표적인 TRcM(Tabular Roof Construction Method) 공법에 대한 시공순서, 특성 등 안전감시 계획을 설명하시오.</t>
        </is>
      </c>
    </row>
    <row r="1109" customFormat="1" s="1">
      <c r="A1109" s="6" t="n">
        <v>919</v>
      </c>
      <c r="B1109" s="145" t="n">
        <v>103</v>
      </c>
      <c r="C1109" s="146" t="n">
        <v>3</v>
      </c>
      <c r="D1109" s="7" t="n">
        <v>4</v>
      </c>
      <c r="E1109" s="6" t="inlineStr">
        <is>
          <t>철골</t>
        </is>
      </c>
      <c r="F1109" s="8" t="inlineStr">
        <is>
          <t>철골자립도</t>
        </is>
      </c>
      <c r="G1109" s="24" t="inlineStr">
        <is>
          <t>철골공사 작업 시 철골자립도 검토대상구조물 및 풍속에 따른 작업범위를 기술하시오.</t>
        </is>
      </c>
    </row>
    <row r="1110" customFormat="1" s="1">
      <c r="A1110" s="6" t="n">
        <v>920</v>
      </c>
      <c r="B1110" s="145" t="n">
        <v>103</v>
      </c>
      <c r="C1110" s="146" t="n">
        <v>3</v>
      </c>
      <c r="D1110" s="7" t="n">
        <v>5</v>
      </c>
      <c r="E1110" s="6" t="inlineStr">
        <is>
          <t>콘크리트</t>
        </is>
      </c>
      <c r="F1110" s="8" t="inlineStr">
        <is>
          <t>콘크리트폭열</t>
        </is>
      </c>
      <c r="G1110" s="24" t="inlineStr">
        <is>
          <t>콘크리트구조물의 화재발생 시 폭열현상의 원인 및 방지대책을 설명하시오.</t>
        </is>
      </c>
    </row>
    <row r="1111" customFormat="1" s="1">
      <c r="A1111" s="6" t="n">
        <v>921</v>
      </c>
      <c r="B1111" s="145" t="n">
        <v>103</v>
      </c>
      <c r="C1111" s="146" t="n">
        <v>3</v>
      </c>
      <c r="D1111" s="7" t="n">
        <v>6</v>
      </c>
      <c r="E1111" s="6" t="inlineStr">
        <is>
          <t>터널</t>
        </is>
      </c>
      <c r="F1111" s="8" t="inlineStr">
        <is>
          <t>갱구부_보강공법</t>
        </is>
      </c>
      <c r="G1111" s="24" t="inlineStr">
        <is>
          <t>갱구부 설치유형을 분류하고, 시공 시 유의사항 및 보강공법을 설명하시오</t>
        </is>
      </c>
    </row>
    <row r="1112" customFormat="1" s="1">
      <c r="A1112" s="6" t="n">
        <v>922</v>
      </c>
      <c r="B1112" s="145" t="n">
        <v>103</v>
      </c>
      <c r="C1112" s="146" t="n">
        <v>4</v>
      </c>
      <c r="D1112" s="7" t="n">
        <v>1</v>
      </c>
      <c r="E1112" s="6" t="inlineStr">
        <is>
          <t>가설공사</t>
        </is>
      </c>
      <c r="F1112" s="8" t="inlineStr">
        <is>
          <t>시스템비계_서포트붕괴</t>
        </is>
      </c>
      <c r="G1112" s="24" t="inlineStr">
        <is>
          <t>경사슬래브교량거푸집 시스템비계 서포트구조의 잠재 붕괴원인 및 대책에 대하여 설명하시오.</t>
        </is>
      </c>
    </row>
    <row r="1113" customFormat="1" s="1">
      <c r="A1113" s="6" t="n">
        <v>923</v>
      </c>
      <c r="B1113" s="145" t="n">
        <v>103</v>
      </c>
      <c r="C1113" s="146" t="n">
        <v>4</v>
      </c>
      <c r="D1113" s="7" t="n">
        <v>2</v>
      </c>
      <c r="E1113" s="6" t="inlineStr">
        <is>
          <t>건설기계</t>
        </is>
      </c>
      <c r="F1113" s="8" t="inlineStr">
        <is>
          <t>체인고리_위험요인</t>
        </is>
      </c>
      <c r="G1113" s="24" t="inlineStr">
        <is>
          <t>건설현장에서 체인고리 사용 시 잠재위험요인을 쓰고, 교체시점에 대하여 설명하시오.</t>
        </is>
      </c>
    </row>
    <row r="1114" customFormat="1" s="1">
      <c r="A1114" s="6" t="n">
        <v>924</v>
      </c>
      <c r="B1114" s="145" t="n">
        <v>103</v>
      </c>
      <c r="C1114" s="146" t="n">
        <v>4</v>
      </c>
      <c r="D1114" s="7" t="n">
        <v>3</v>
      </c>
      <c r="E1114" s="6" t="inlineStr">
        <is>
          <t>안전관리론</t>
        </is>
      </c>
      <c r="F1114" s="8" t="inlineStr">
        <is>
          <t>감리제도_문제점</t>
        </is>
      </c>
      <c r="G1114" s="24" t="inlineStr">
        <is>
          <t>건설시공 중의 안전관리에 대한 현행감리제도의 문제점을 쓰고, 개선대책에 대하여 설명하시오.</t>
        </is>
      </c>
    </row>
    <row r="1115" customFormat="1" s="1">
      <c r="A1115" s="6" t="n">
        <v>925</v>
      </c>
      <c r="B1115" s="145" t="n">
        <v>103</v>
      </c>
      <c r="C1115" s="146" t="n">
        <v>4</v>
      </c>
      <c r="D1115" s="7" t="n">
        <v>4</v>
      </c>
      <c r="E1115" s="6" t="inlineStr">
        <is>
          <t>시설물안전법</t>
        </is>
      </c>
      <c r="F1115" s="8" t="inlineStr">
        <is>
          <t>항만시설물_안전점검</t>
        </is>
      </c>
      <c r="G1115" s="24" t="inlineStr">
        <is>
          <t>시설물의 안전관리에 관한 특별법령에서 정하고 있는 항만분야에 대한 다음 사항에 대하여 설명하시오. 가) 1종, 2종 시설물의 범위, 안전점검 및 정밀안전진단의 실시 시기 나) 중대한 결함</t>
        </is>
      </c>
    </row>
    <row r="1116" customFormat="1" s="1">
      <c r="A1116" s="6" t="n">
        <v>926</v>
      </c>
      <c r="B1116" s="145" t="n">
        <v>103</v>
      </c>
      <c r="C1116" s="146" t="n">
        <v>4</v>
      </c>
      <c r="D1116" s="7" t="n">
        <v>5</v>
      </c>
      <c r="E1116" s="6" t="inlineStr">
        <is>
          <t>터널</t>
        </is>
      </c>
      <c r="F1116" s="8" t="inlineStr">
        <is>
          <t>근접시공_안전영역평가</t>
        </is>
      </c>
      <c r="G1116" s="24" t="inlineStr">
        <is>
          <t>기존 터널에 근접하여 구조물을 시공하는 경우 기존 터널에 미치는 안전영역평가와 안전관리 대책을 설명하시오.</t>
        </is>
      </c>
    </row>
    <row r="1117" customFormat="1" s="1">
      <c r="A1117" s="6" t="n">
        <v>927</v>
      </c>
      <c r="B1117" s="145" t="n">
        <v>103</v>
      </c>
      <c r="C1117" s="146" t="n">
        <v>4</v>
      </c>
      <c r="D1117" s="7" t="n">
        <v>6</v>
      </c>
      <c r="E1117" s="6" t="inlineStr">
        <is>
          <t>재해유형</t>
        </is>
      </c>
      <c r="F1117" s="8" t="inlineStr">
        <is>
          <t>밀폐공간_산소결핍</t>
        </is>
      </c>
      <c r="G1117" s="24" t="inlineStr">
        <is>
          <t>건설현장의 밀폐공간 작업 시 산소결핍에 의한 재해발생요인 및 안전관리대책에 대하여 설명하시오.</t>
        </is>
      </c>
    </row>
    <row r="1118" customFormat="1" s="1">
      <c r="A1118" s="6" t="n">
        <v>868</v>
      </c>
      <c r="B1118" s="145" t="n">
        <v>102</v>
      </c>
      <c r="C1118" s="146" t="n">
        <v>1</v>
      </c>
      <c r="D1118" s="7" t="n">
        <v>1</v>
      </c>
      <c r="E1118" s="6" t="inlineStr">
        <is>
          <t>안전관리론</t>
        </is>
      </c>
      <c r="F1118" s="8" t="inlineStr">
        <is>
          <t>매슬로우동기부여</t>
        </is>
      </c>
      <c r="G1118" s="24" t="inlineStr">
        <is>
          <t>Maslow의 동기부여 이론</t>
        </is>
      </c>
    </row>
    <row r="1119" customFormat="1" s="1">
      <c r="A1119" s="6" t="n">
        <v>869</v>
      </c>
      <c r="B1119" s="145" t="n">
        <v>102</v>
      </c>
      <c r="C1119" s="146" t="n">
        <v>1</v>
      </c>
      <c r="D1119" s="7" t="n">
        <v>2</v>
      </c>
      <c r="E1119" s="6" t="inlineStr">
        <is>
          <t>안전관리론</t>
        </is>
      </c>
      <c r="F1119" s="8" t="inlineStr">
        <is>
          <t>등치성이론</t>
        </is>
      </c>
      <c r="G1119" s="24" t="inlineStr">
        <is>
          <t>등치성 이론</t>
        </is>
      </c>
    </row>
    <row r="1120" customFormat="1" s="1">
      <c r="A1120" s="6" t="n">
        <v>870</v>
      </c>
      <c r="B1120" s="145" t="n">
        <v>102</v>
      </c>
      <c r="C1120" s="146" t="n">
        <v>1</v>
      </c>
      <c r="D1120" s="7" t="n">
        <v>3</v>
      </c>
      <c r="E1120" s="6" t="inlineStr">
        <is>
          <t>강재</t>
        </is>
      </c>
      <c r="F1120" s="8" t="inlineStr">
        <is>
          <t>강재비파괴시험</t>
        </is>
      </c>
      <c r="G1120" s="24" t="inlineStr">
        <is>
          <t>강재구조물의 비파괴시험</t>
        </is>
      </c>
    </row>
    <row r="1121" customFormat="1" s="1">
      <c r="A1121" s="6" t="n">
        <v>871</v>
      </c>
      <c r="B1121" s="145" t="n">
        <v>102</v>
      </c>
      <c r="C1121" s="146" t="n">
        <v>1</v>
      </c>
      <c r="D1121" s="7" t="n">
        <v>4</v>
      </c>
      <c r="E1121" s="6" t="inlineStr">
        <is>
          <t>철골</t>
        </is>
      </c>
      <c r="F1121" s="8" t="inlineStr">
        <is>
          <t>철골공작도</t>
        </is>
      </c>
      <c r="G1121" s="24" t="inlineStr">
        <is>
          <t>철골의 공사 전 검토사항과 공작도에 포함시켜야 할 사항</t>
        </is>
      </c>
    </row>
    <row r="1122" customFormat="1" s="1">
      <c r="A1122" s="6" t="n">
        <v>872</v>
      </c>
      <c r="B1122" s="145" t="n">
        <v>102</v>
      </c>
      <c r="C1122" s="146" t="n">
        <v>1</v>
      </c>
      <c r="D1122" s="7" t="n">
        <v>5</v>
      </c>
      <c r="E1122" s="6" t="inlineStr">
        <is>
          <t>시설물안전법</t>
        </is>
      </c>
      <c r="F1122" s="8" t="inlineStr">
        <is>
          <t>정밀안전진단_실시시기</t>
        </is>
      </c>
      <c r="G1122" s="24" t="inlineStr">
        <is>
          <t>시설물의 정밀안전 실시시기</t>
        </is>
      </c>
    </row>
    <row r="1123" customFormat="1" s="1">
      <c r="A1123" s="6" t="n">
        <v>873</v>
      </c>
      <c r="B1123" s="145" t="n">
        <v>102</v>
      </c>
      <c r="C1123" s="146" t="n">
        <v>1</v>
      </c>
      <c r="D1123" s="7" t="n">
        <v>6</v>
      </c>
      <c r="E1123" s="6" t="inlineStr">
        <is>
          <t>계절재해</t>
        </is>
      </c>
      <c r="F1123" s="8" t="inlineStr">
        <is>
          <t>황사_연무_스모그</t>
        </is>
      </c>
      <c r="G1123" s="24" t="inlineStr">
        <is>
          <t>황사, 연무, 스모그 7.RMR(Relative metabolic rate)과 1일 에너지 소비량</t>
        </is>
      </c>
    </row>
    <row r="1124" customFormat="1" s="1">
      <c r="A1124" s="6" t="n">
        <v>874</v>
      </c>
      <c r="B1124" s="145" t="n">
        <v>102</v>
      </c>
      <c r="C1124" s="146" t="n">
        <v>1</v>
      </c>
      <c r="D1124" s="7" t="n">
        <v>8</v>
      </c>
      <c r="E1124" s="6" t="inlineStr">
        <is>
          <t>콘크리트</t>
        </is>
      </c>
      <c r="F1124" s="8" t="inlineStr">
        <is>
          <t>수중콘크리트</t>
        </is>
      </c>
      <c r="G1124" s="24" t="inlineStr">
        <is>
          <t>수중 콘크리트</t>
        </is>
      </c>
    </row>
    <row r="1125" customFormat="1" s="1">
      <c r="A1125" s="6" t="n">
        <v>875</v>
      </c>
      <c r="B1125" s="145" t="n">
        <v>102</v>
      </c>
      <c r="C1125" s="146" t="n">
        <v>1</v>
      </c>
      <c r="D1125" s="7" t="n">
        <v>9</v>
      </c>
      <c r="E1125" s="6" t="inlineStr">
        <is>
          <t>교량</t>
        </is>
      </c>
      <c r="F1125" s="8" t="inlineStr">
        <is>
          <t>Preflex Beam</t>
        </is>
      </c>
      <c r="G1125" s="24" t="inlineStr">
        <is>
          <t>Preflex Beam</t>
        </is>
      </c>
    </row>
    <row r="1126" customFormat="1" s="1">
      <c r="A1126" s="6" t="n">
        <v>876</v>
      </c>
      <c r="B1126" s="145" t="n">
        <v>102</v>
      </c>
      <c r="C1126" s="146" t="n">
        <v>1</v>
      </c>
      <c r="D1126" s="7" t="n">
        <v>10</v>
      </c>
      <c r="E1126" s="6" t="inlineStr">
        <is>
          <t>콘크리트</t>
        </is>
      </c>
      <c r="F1126" s="8" t="inlineStr">
        <is>
          <t>과소과다철근보</t>
        </is>
      </c>
      <c r="G1126" s="24" t="inlineStr">
        <is>
          <t>과소철근보, 과다철근보, 평형철근비</t>
        </is>
      </c>
    </row>
    <row r="1127" customFormat="1" s="1">
      <c r="A1127" s="6" t="n">
        <v>877</v>
      </c>
      <c r="B1127" s="145" t="n">
        <v>102</v>
      </c>
      <c r="C1127" s="146" t="n">
        <v>1</v>
      </c>
      <c r="D1127" s="7" t="n">
        <v>11</v>
      </c>
      <c r="E1127" s="6" t="inlineStr">
        <is>
          <t>토공</t>
        </is>
      </c>
      <c r="F1127" s="8" t="inlineStr">
        <is>
          <t>유선망</t>
        </is>
      </c>
      <c r="G1127" s="24" t="inlineStr">
        <is>
          <t>유선망(Flow net)</t>
        </is>
      </c>
    </row>
    <row r="1128" customFormat="1" s="1">
      <c r="A1128" s="6" t="n">
        <v>878</v>
      </c>
      <c r="B1128" s="145" t="n">
        <v>102</v>
      </c>
      <c r="C1128" s="146" t="n">
        <v>1</v>
      </c>
      <c r="D1128" s="7" t="n">
        <v>12</v>
      </c>
      <c r="E1128" s="6" t="inlineStr">
        <is>
          <t>토공</t>
        </is>
      </c>
      <c r="F1128" s="8" t="inlineStr">
        <is>
          <t>지반전단파괴</t>
        </is>
      </c>
      <c r="G1128" s="24" t="inlineStr">
        <is>
          <t>지반의 전단파괴</t>
        </is>
      </c>
    </row>
    <row r="1129" customFormat="1" s="1">
      <c r="A1129" s="6" t="n">
        <v>879</v>
      </c>
      <c r="B1129" s="145" t="n">
        <v>102</v>
      </c>
      <c r="C1129" s="146" t="n">
        <v>2</v>
      </c>
      <c r="D1129" s="7" t="n">
        <v>1</v>
      </c>
      <c r="E1129" s="6" t="inlineStr">
        <is>
          <t>산안법</t>
        </is>
      </c>
      <c r="F1129" s="8" t="inlineStr">
        <is>
          <t>의무안전인증대상</t>
        </is>
      </c>
      <c r="G1129" s="24" t="inlineStr">
        <is>
          <t>의무안전 인증대상기계·기구 및 설비, 방호장치, 보호구에 대하여 설명하시오.</t>
        </is>
      </c>
    </row>
    <row r="1130" customFormat="1" s="1">
      <c r="A1130" s="6" t="n">
        <v>880</v>
      </c>
      <c r="B1130" s="145" t="n">
        <v>102</v>
      </c>
      <c r="C1130" s="146" t="n">
        <v>2</v>
      </c>
      <c r="D1130" s="7" t="n">
        <v>2</v>
      </c>
      <c r="E1130" s="6" t="inlineStr">
        <is>
          <t>가설공사</t>
        </is>
      </c>
      <c r="F1130" s="8" t="inlineStr">
        <is>
          <t>가설통로_종류설치기준</t>
        </is>
      </c>
      <c r="G1130" s="24" t="inlineStr">
        <is>
          <t>가설공사 중 가설통로의 종류 및 설치기준에 대하여 설명하시오.</t>
        </is>
      </c>
    </row>
    <row r="1131" customFormat="1" s="1">
      <c r="A1131" s="6" t="n">
        <v>881</v>
      </c>
      <c r="B1131" s="145" t="n">
        <v>102</v>
      </c>
      <c r="C1131" s="146" t="n">
        <v>2</v>
      </c>
      <c r="D1131" s="7" t="n">
        <v>3</v>
      </c>
      <c r="E1131" s="6" t="inlineStr">
        <is>
          <t>재해유형</t>
        </is>
      </c>
      <c r="F1131" s="8" t="inlineStr">
        <is>
          <t>추락재해_지하철공사</t>
        </is>
      </c>
      <c r="G1131" s="24" t="inlineStr">
        <is>
          <t>대심도 지하철공사 작업 중 추락재해가 발생하였다. 추락재해의 형태와 발생원인 및 방지대책에 대하여 설명하시오.</t>
        </is>
      </c>
    </row>
    <row r="1132" customFormat="1" s="1">
      <c r="A1132" s="6" t="n">
        <v>882</v>
      </c>
      <c r="B1132" s="145" t="n">
        <v>102</v>
      </c>
      <c r="C1132" s="146" t="n">
        <v>2</v>
      </c>
      <c r="D1132" s="7" t="n">
        <v>4</v>
      </c>
      <c r="E1132" s="6" t="inlineStr">
        <is>
          <t>토공</t>
        </is>
      </c>
      <c r="F1132" s="8" t="inlineStr">
        <is>
          <t>연화현상</t>
        </is>
      </c>
      <c r="G1132" s="24" t="inlineStr">
        <is>
          <t>연화현상이 토목구조물에 미치는 영향 및 방지대책에 대하여 설명하시오.</t>
        </is>
      </c>
    </row>
    <row r="1133" customFormat="1" s="1">
      <c r="A1133" s="6" t="n">
        <v>883</v>
      </c>
      <c r="B1133" s="145" t="n">
        <v>102</v>
      </c>
      <c r="C1133" s="146" t="n">
        <v>2</v>
      </c>
      <c r="D1133" s="7" t="n">
        <v>5</v>
      </c>
      <c r="E1133" s="6" t="inlineStr">
        <is>
          <t>콘크리트</t>
        </is>
      </c>
      <c r="F1133" s="8" t="inlineStr">
        <is>
          <t>굵은골재_최대치수</t>
        </is>
      </c>
      <c r="G1133" s="24" t="inlineStr">
        <is>
          <t>굵은골재의 최대치수가 콘크리트에 미치는 양향에 대하여 설명하시오.</t>
        </is>
      </c>
    </row>
    <row r="1134" customFormat="1" s="1">
      <c r="A1134" s="6" t="n">
        <v>884</v>
      </c>
      <c r="B1134" s="145" t="n">
        <v>102</v>
      </c>
      <c r="C1134" s="146" t="n">
        <v>2</v>
      </c>
      <c r="D1134" s="7" t="n">
        <v>6</v>
      </c>
      <c r="E1134" s="6" t="inlineStr">
        <is>
          <t>토공</t>
        </is>
      </c>
      <c r="F1134" s="8" t="inlineStr">
        <is>
          <t>조경용산벽</t>
        </is>
      </c>
      <c r="G1134" s="24" t="inlineStr">
        <is>
          <t>조경용 산벽의 구조와 붕괴원인 및 안전대책에 대하여 설명하시오.</t>
        </is>
      </c>
    </row>
    <row r="1135" customFormat="1" s="1">
      <c r="A1135" s="6" t="n">
        <v>885</v>
      </c>
      <c r="B1135" s="145" t="n">
        <v>102</v>
      </c>
      <c r="C1135" s="146" t="n">
        <v>3</v>
      </c>
      <c r="D1135" s="7" t="n">
        <v>1</v>
      </c>
      <c r="E1135" s="6" t="inlineStr">
        <is>
          <t>해체공사</t>
        </is>
      </c>
      <c r="F1135" s="8" t="inlineStr">
        <is>
          <t>석면조사</t>
        </is>
      </c>
      <c r="G1135" s="24" t="inlineStr">
        <is>
          <t>건축물이나 설비의 철거 해체시, 석면조사 대상 및 조사 방법, 석면 농도의 측정방법에 대하여 설명하시오.</t>
        </is>
      </c>
    </row>
    <row r="1136" customFormat="1" s="1">
      <c r="A1136" s="6" t="n">
        <v>886</v>
      </c>
      <c r="B1136" s="145" t="n">
        <v>102</v>
      </c>
      <c r="C1136" s="146" t="n">
        <v>3</v>
      </c>
      <c r="D1136" s="7" t="n">
        <v>2</v>
      </c>
      <c r="E1136" s="6" t="inlineStr">
        <is>
          <t>철골</t>
        </is>
      </c>
      <c r="F1136" s="8" t="inlineStr">
        <is>
          <t>철탑조립_안전대책</t>
        </is>
      </c>
      <c r="G1136" s="24" t="inlineStr">
        <is>
          <t>철탑조립공사 중 작업전, 작업중 유의사항과 안전대책에 대하여 설명하시오.</t>
        </is>
      </c>
    </row>
    <row r="1137" customFormat="1" s="1">
      <c r="A1137" s="6" t="n">
        <v>887</v>
      </c>
      <c r="B1137" s="145" t="n">
        <v>102</v>
      </c>
      <c r="C1137" s="146" t="n">
        <v>3</v>
      </c>
      <c r="D1137" s="7" t="n">
        <v>3</v>
      </c>
      <c r="E1137" s="6" t="inlineStr">
        <is>
          <t>계절재해</t>
        </is>
      </c>
      <c r="F1137" s="8" t="inlineStr">
        <is>
          <t>동절기_한랭작업</t>
        </is>
      </c>
      <c r="G1137" s="24" t="inlineStr">
        <is>
          <t>동절기 한랭작업이 인체에 미치는 영향과 건강관리 수칙 및 재해 유형별 안전대책에 대하여 설명하시오</t>
        </is>
      </c>
    </row>
    <row r="1138" customFormat="1" s="1">
      <c r="A1138" s="6" t="n">
        <v>888</v>
      </c>
      <c r="B1138" s="145" t="n">
        <v>102</v>
      </c>
      <c r="C1138" s="146" t="n">
        <v>3</v>
      </c>
      <c r="D1138" s="7" t="n">
        <v>4</v>
      </c>
      <c r="E1138" s="6" t="inlineStr">
        <is>
          <t>터널</t>
        </is>
      </c>
      <c r="F1138" s="8" t="inlineStr">
        <is>
          <t>암반굴착_발파</t>
        </is>
      </c>
      <c r="G1138" s="24" t="inlineStr">
        <is>
          <t>터널 암반굴착시 자유면 확보방법과 발파작업시 안전수칙에 대하여 설명하시오.</t>
        </is>
      </c>
    </row>
    <row r="1139" customFormat="1" s="1">
      <c r="A1139" s="6" t="n">
        <v>889</v>
      </c>
      <c r="B1139" s="145" t="n">
        <v>102</v>
      </c>
      <c r="C1139" s="146" t="n">
        <v>3</v>
      </c>
      <c r="D1139" s="7" t="n">
        <v>5</v>
      </c>
      <c r="E1139" s="6" t="inlineStr">
        <is>
          <t>콘크리트</t>
        </is>
      </c>
      <c r="F1139" s="8" t="inlineStr">
        <is>
          <t>레미콘운반시간</t>
        </is>
      </c>
      <c r="G1139" s="24" t="inlineStr">
        <is>
          <t>레미콘 운반시간이 콘크리트 품질에 미치는 영향과 대책 및 콘크리트 타설시 안전대책에 대하여 설명하시오.</t>
        </is>
      </c>
    </row>
    <row r="1140" customFormat="1" s="1">
      <c r="A1140" s="6" t="n">
        <v>890</v>
      </c>
      <c r="B1140" s="145" t="n">
        <v>102</v>
      </c>
      <c r="C1140" s="146" t="n">
        <v>3</v>
      </c>
      <c r="D1140" s="7" t="n">
        <v>6</v>
      </c>
      <c r="E1140" s="6" t="inlineStr">
        <is>
          <t>콘크리트</t>
        </is>
      </c>
      <c r="F1140" s="8" t="inlineStr">
        <is>
          <t>구조물화재_피해최소화</t>
        </is>
      </c>
      <c r="G1140" s="24" t="inlineStr">
        <is>
          <t>콘크리트 구조물 화재시 구조물의 안전에 영향을 미치는 요소와 구조물의 화재예방 및 피해 최소화에 대하여 설명하시오.</t>
        </is>
      </c>
    </row>
    <row r="1141" customFormat="1" s="1">
      <c r="A1141" s="6" t="n">
        <v>891</v>
      </c>
      <c r="B1141" s="145" t="n">
        <v>102</v>
      </c>
      <c r="C1141" s="146" t="n">
        <v>4</v>
      </c>
      <c r="D1141" s="7" t="n">
        <v>1</v>
      </c>
      <c r="E1141" s="6" t="inlineStr">
        <is>
          <t>가설공사</t>
        </is>
      </c>
      <c r="F1141" s="8" t="inlineStr">
        <is>
          <t>시스템비계_전도방지</t>
        </is>
      </c>
      <c r="G1141" s="24" t="inlineStr">
        <is>
          <t>건설현장에서 비계전도 사고를 예방하기 위한 시스템비계구조와 조립작업시 준수해야 할 사항에 대하여 설명하시오.</t>
        </is>
      </c>
    </row>
    <row r="1142" customFormat="1" s="1">
      <c r="A1142" s="6" t="n">
        <v>892</v>
      </c>
      <c r="B1142" s="145" t="n">
        <v>102</v>
      </c>
      <c r="C1142" s="146" t="n">
        <v>4</v>
      </c>
      <c r="D1142" s="7" t="n">
        <v>2</v>
      </c>
      <c r="E1142" s="6" t="inlineStr">
        <is>
          <t>지진</t>
        </is>
      </c>
      <c r="F1142" s="8" t="inlineStr">
        <is>
          <t>내진설계_구조안전확인</t>
        </is>
      </c>
      <c r="G1142" s="24" t="inlineStr">
        <is>
          <t>지진 피해에 따른 현행법상 지진에 대한 구조안전확인대상 및 안전설계방안에 대하여 설명하시오</t>
        </is>
      </c>
    </row>
    <row r="1143" customFormat="1" s="1">
      <c r="A1143" s="6" t="n">
        <v>893</v>
      </c>
      <c r="B1143" s="145" t="n">
        <v>102</v>
      </c>
      <c r="C1143" s="146" t="n">
        <v>4</v>
      </c>
      <c r="D1143" s="7" t="n">
        <v>3</v>
      </c>
      <c r="E1143" s="6" t="inlineStr">
        <is>
          <t>콘크리트</t>
        </is>
      </c>
      <c r="F1143" s="8" t="inlineStr">
        <is>
          <t>균열평가_보수보강</t>
        </is>
      </c>
      <c r="G1143" s="24" t="inlineStr">
        <is>
          <t>콘크리트 구조물의 사용환경에 따라 발생하는 콘크리트 균열의 평가방법과 보수보강 공법에 대하여 설명하시오.</t>
        </is>
      </c>
    </row>
    <row r="1144" customFormat="1" s="1">
      <c r="A1144" s="6" t="n">
        <v>894</v>
      </c>
      <c r="B1144" s="145" t="n">
        <v>102</v>
      </c>
      <c r="C1144" s="146" t="n">
        <v>4</v>
      </c>
      <c r="D1144" s="7" t="n">
        <v>4</v>
      </c>
      <c r="E1144" s="6" t="inlineStr">
        <is>
          <t>기초</t>
        </is>
      </c>
      <c r="F1144" s="8" t="inlineStr">
        <is>
          <t>말뚝_허용지지력</t>
        </is>
      </c>
      <c r="G1144" s="24" t="inlineStr">
        <is>
          <t>기초말뚝의 허용지지력을 추정하는 방법과 허용지지력에 영향을 미치는 요인에 대하여 설명하시오.</t>
        </is>
      </c>
    </row>
    <row r="1145" customFormat="1" s="1">
      <c r="A1145" s="6" t="n">
        <v>895</v>
      </c>
      <c r="B1145" s="145" t="n">
        <v>102</v>
      </c>
      <c r="C1145" s="146" t="n">
        <v>4</v>
      </c>
      <c r="D1145" s="7" t="n">
        <v>5</v>
      </c>
      <c r="E1145" s="6" t="inlineStr">
        <is>
          <t>제방 댐 항만</t>
        </is>
      </c>
      <c r="F1145" s="8" t="inlineStr">
        <is>
          <t>제방_침윤선</t>
        </is>
      </c>
      <c r="G1145" s="24" t="inlineStr">
        <is>
          <t>침윤선이 제방에 미치는 영향과 누수에 대한 안전대책에 대하여 설명하시오.</t>
        </is>
      </c>
    </row>
    <row r="1146" customFormat="1" s="1">
      <c r="A1146" s="6" t="n">
        <v>896</v>
      </c>
      <c r="B1146" s="145" t="n">
        <v>102</v>
      </c>
      <c r="C1146" s="146" t="n">
        <v>4</v>
      </c>
      <c r="D1146" s="7" t="n">
        <v>6</v>
      </c>
      <c r="E1146" s="6" t="inlineStr">
        <is>
          <t>기초</t>
        </is>
      </c>
      <c r="F1146" s="8" t="inlineStr">
        <is>
          <t>양압력_부력</t>
        </is>
      </c>
      <c r="G1146" s="24" t="inlineStr">
        <is>
          <t>구조물의 시공시 발생하는 양압력과 부력의 발생원인 및 방지대책에 대하여 설명하시오.</t>
        </is>
      </c>
    </row>
    <row r="1147" customFormat="1" s="1">
      <c r="A1147" s="6" t="n">
        <v>837</v>
      </c>
      <c r="B1147" s="145" t="n">
        <v>100</v>
      </c>
      <c r="C1147" s="146" t="n">
        <v>1</v>
      </c>
      <c r="D1147" s="7" t="n">
        <v>1</v>
      </c>
      <c r="E1147" s="6" t="inlineStr">
        <is>
          <t>산안법</t>
        </is>
      </c>
      <c r="F1147" s="8" t="inlineStr">
        <is>
          <t>의무안전인증_보호구</t>
        </is>
      </c>
      <c r="G1147" s="24" t="inlineStr">
        <is>
          <t>의무안전인정대상 보호구</t>
        </is>
      </c>
    </row>
    <row r="1148" customFormat="1" s="1">
      <c r="A1148" s="6" t="n">
        <v>838</v>
      </c>
      <c r="B1148" s="145" t="n">
        <v>100</v>
      </c>
      <c r="C1148" s="146" t="n">
        <v>1</v>
      </c>
      <c r="D1148" s="7" t="n">
        <v>2</v>
      </c>
      <c r="E1148" s="6" t="inlineStr">
        <is>
          <t>산안법</t>
        </is>
      </c>
      <c r="F1148" s="8" t="inlineStr">
        <is>
          <t>MSDS</t>
        </is>
      </c>
      <c r="G1148" s="24" t="inlineStr">
        <is>
          <t>물질안전보건자료(MSDS) 교육시기 및 내용</t>
        </is>
      </c>
    </row>
    <row r="1149" customFormat="1" s="1">
      <c r="A1149" s="6" t="n">
        <v>839</v>
      </c>
      <c r="B1149" s="145" t="n">
        <v>100</v>
      </c>
      <c r="C1149" s="146" t="n">
        <v>1</v>
      </c>
      <c r="D1149" s="7" t="n">
        <v>3</v>
      </c>
      <c r="E1149" s="6" t="inlineStr">
        <is>
          <t>산안법</t>
        </is>
      </c>
      <c r="F1149" s="8" t="inlineStr">
        <is>
          <t>GHS제도</t>
        </is>
      </c>
      <c r="G1149" s="24" t="inlineStr">
        <is>
          <t>화학물질 분류 표시에 관한 GHS(Globally Harmonized System) 제도</t>
        </is>
      </c>
    </row>
    <row r="1150" customFormat="1" s="1">
      <c r="A1150" s="6" t="n">
        <v>840</v>
      </c>
      <c r="B1150" s="145" t="n">
        <v>100</v>
      </c>
      <c r="C1150" s="146" t="n">
        <v>1</v>
      </c>
      <c r="D1150" s="7" t="n">
        <v>4</v>
      </c>
      <c r="E1150" s="6" t="inlineStr">
        <is>
          <t>안전관리론</t>
        </is>
      </c>
      <c r="F1150" s="8" t="inlineStr">
        <is>
          <t>STOP제도</t>
        </is>
      </c>
      <c r="G1150" s="24" t="inlineStr">
        <is>
          <t>STOP(Safety Training Observation Program) 제도</t>
        </is>
      </c>
    </row>
    <row r="1151" customFormat="1" s="1">
      <c r="A1151" s="6" t="n">
        <v>841</v>
      </c>
      <c r="B1151" s="145" t="n">
        <v>100</v>
      </c>
      <c r="C1151" s="146" t="n">
        <v>1</v>
      </c>
      <c r="D1151" s="7" t="n">
        <v>5</v>
      </c>
      <c r="E1151" s="6" t="inlineStr">
        <is>
          <t>시설물안전법</t>
        </is>
      </c>
      <c r="F1151" s="8" t="inlineStr">
        <is>
          <t>중대한결함</t>
        </is>
      </c>
      <c r="G1151" s="24" t="inlineStr">
        <is>
          <t>“시설물의 안전관리에 관한 특별법 시행령”에서 규정하고 있는 중대한 결함(단, 최근 개정된 내용 포함)</t>
        </is>
      </c>
    </row>
    <row r="1152" customFormat="1" s="1">
      <c r="A1152" s="6" t="n">
        <v>842</v>
      </c>
      <c r="B1152" s="145" t="n">
        <v>100</v>
      </c>
      <c r="C1152" s="146" t="n">
        <v>1</v>
      </c>
      <c r="D1152" s="7" t="n">
        <v>6</v>
      </c>
      <c r="E1152" s="6" t="inlineStr">
        <is>
          <t>강재</t>
        </is>
      </c>
      <c r="F1152" s="8" t="inlineStr">
        <is>
          <t>Scallop</t>
        </is>
      </c>
      <c r="G1152" s="24" t="inlineStr">
        <is>
          <t>Scallop</t>
        </is>
      </c>
    </row>
    <row r="1153" customFormat="1" s="1">
      <c r="A1153" s="6" t="n">
        <v>843</v>
      </c>
      <c r="B1153" s="145" t="n">
        <v>100</v>
      </c>
      <c r="C1153" s="146" t="n">
        <v>1</v>
      </c>
      <c r="D1153" s="7" t="n">
        <v>7</v>
      </c>
      <c r="E1153" s="6" t="inlineStr">
        <is>
          <t>교량</t>
        </is>
      </c>
      <c r="F1153" s="8" t="inlineStr">
        <is>
          <t>전단연결재</t>
        </is>
      </c>
      <c r="G1153" s="24" t="inlineStr">
        <is>
          <t>전단연결재(Shear connector)</t>
        </is>
      </c>
    </row>
    <row r="1154" customFormat="1" s="1">
      <c r="A1154" s="6" t="n">
        <v>844</v>
      </c>
      <c r="B1154" s="145" t="n">
        <v>100</v>
      </c>
      <c r="C1154" s="146" t="n">
        <v>1</v>
      </c>
      <c r="D1154" s="7" t="n">
        <v>8</v>
      </c>
      <c r="E1154" s="6" t="inlineStr">
        <is>
          <t>기초</t>
        </is>
      </c>
      <c r="F1154" s="8" t="inlineStr">
        <is>
          <t>말뚝폐색효과</t>
        </is>
      </c>
      <c r="G1154" s="24" t="inlineStr">
        <is>
          <t>말뚝의 폐색 효과</t>
        </is>
      </c>
    </row>
    <row r="1155" customFormat="1" s="1">
      <c r="A1155" s="6" t="n">
        <v>845</v>
      </c>
      <c r="B1155" s="145" t="n">
        <v>100</v>
      </c>
      <c r="C1155" s="146" t="n">
        <v>1</v>
      </c>
      <c r="D1155" s="7" t="n">
        <v>9</v>
      </c>
      <c r="E1155" s="6" t="inlineStr">
        <is>
          <t>제방 댐 항만</t>
        </is>
      </c>
      <c r="F1155" s="8" t="inlineStr">
        <is>
          <t>검사랑</t>
        </is>
      </c>
      <c r="G1155" s="24" t="inlineStr">
        <is>
          <t>검사랑(Check Hole, Inspection Gallery)</t>
        </is>
      </c>
    </row>
    <row r="1156" customFormat="1" s="1">
      <c r="A1156" s="6" t="n">
        <v>846</v>
      </c>
      <c r="B1156" s="145" t="n">
        <v>100</v>
      </c>
      <c r="C1156" s="146" t="n">
        <v>1</v>
      </c>
      <c r="D1156" s="7" t="n">
        <v>10</v>
      </c>
      <c r="E1156" s="6" t="inlineStr">
        <is>
          <t>안전관리론</t>
        </is>
      </c>
      <c r="F1156" s="8" t="inlineStr">
        <is>
          <t>억측판단</t>
        </is>
      </c>
      <c r="G1156" s="24" t="inlineStr">
        <is>
          <t>억측판단(Risk taking)</t>
        </is>
      </c>
    </row>
    <row r="1157" customFormat="1" s="1">
      <c r="A1157" s="6" t="n">
        <v>847</v>
      </c>
      <c r="B1157" s="145" t="n">
        <v>100</v>
      </c>
      <c r="C1157" s="146" t="n">
        <v>1</v>
      </c>
      <c r="D1157" s="7" t="n">
        <v>11</v>
      </c>
      <c r="E1157" s="6" t="inlineStr">
        <is>
          <t>토공</t>
        </is>
      </c>
      <c r="F1157" s="8" t="inlineStr">
        <is>
          <t>1차2차압밀</t>
        </is>
      </c>
      <c r="G1157" s="24" t="inlineStr">
        <is>
          <t>1차압밀과 2차압밀</t>
        </is>
      </c>
    </row>
    <row r="1158" customFormat="1" s="1">
      <c r="A1158" s="6" t="n">
        <v>848</v>
      </c>
      <c r="B1158" s="145" t="n">
        <v>100</v>
      </c>
      <c r="C1158" s="146" t="n">
        <v>1</v>
      </c>
      <c r="D1158" s="7" t="n">
        <v>12</v>
      </c>
      <c r="E1158" s="6" t="inlineStr">
        <is>
          <t>제방 댐 항만</t>
        </is>
      </c>
      <c r="F1158" s="8" t="inlineStr">
        <is>
          <t>댐_하류전환방식</t>
        </is>
      </c>
      <c r="G1158" s="24" t="inlineStr">
        <is>
          <t>댐 건설시 하류전환방식</t>
        </is>
      </c>
    </row>
    <row r="1159" customFormat="1" s="1">
      <c r="A1159" s="6" t="n">
        <v>849</v>
      </c>
      <c r="B1159" s="145" t="n">
        <v>100</v>
      </c>
      <c r="C1159" s="146" t="n">
        <v>1</v>
      </c>
      <c r="D1159" s="7" t="n">
        <v>13</v>
      </c>
      <c r="E1159" s="6" t="inlineStr">
        <is>
          <t>콘크리트</t>
        </is>
      </c>
      <c r="F1159" s="8" t="inlineStr">
        <is>
          <t>주철근과전단철근</t>
        </is>
      </c>
      <c r="G1159" s="24" t="inlineStr">
        <is>
          <t>주철근과 전단철근</t>
        </is>
      </c>
    </row>
    <row r="1160" customFormat="1" s="1">
      <c r="A1160" s="6" t="n">
        <v>850</v>
      </c>
      <c r="B1160" s="145" t="n">
        <v>100</v>
      </c>
      <c r="C1160" s="146" t="n">
        <v>2</v>
      </c>
      <c r="D1160" s="7" t="n">
        <v>1</v>
      </c>
      <c r="E1160" s="6" t="inlineStr">
        <is>
          <t>안전관리론</t>
        </is>
      </c>
      <c r="F1160" s="8" t="inlineStr">
        <is>
          <t>사고자무사고자특성</t>
        </is>
      </c>
      <c r="G1160" s="24" t="inlineStr">
        <is>
          <t>근로자의 사고자와 무사고자의 특성과 사고자에 대한 예방대책을 설명하시오.</t>
        </is>
      </c>
    </row>
    <row r="1161" customFormat="1" s="1">
      <c r="A1161" s="6" t="n">
        <v>851</v>
      </c>
      <c r="B1161" s="145" t="n">
        <v>100</v>
      </c>
      <c r="C1161" s="146" t="n">
        <v>2</v>
      </c>
      <c r="D1161" s="7" t="n">
        <v>2</v>
      </c>
      <c r="E1161" s="6" t="inlineStr">
        <is>
          <t>안전관리론</t>
        </is>
      </c>
      <c r="F1161" s="8" t="inlineStr">
        <is>
          <t>위험관리</t>
        </is>
      </c>
      <c r="G1161" s="24" t="inlineStr">
        <is>
          <t>Risk Management(위험관리)에 대하여 설명하시오.</t>
        </is>
      </c>
    </row>
    <row r="1162" customFormat="1" s="1">
      <c r="A1162" s="6" t="n">
        <v>852</v>
      </c>
      <c r="B1162" s="145" t="n">
        <v>100</v>
      </c>
      <c r="C1162" s="146" t="n">
        <v>2</v>
      </c>
      <c r="D1162" s="7" t="n">
        <v>3</v>
      </c>
      <c r="E1162" s="6" t="inlineStr">
        <is>
          <t>안전관리론</t>
        </is>
      </c>
      <c r="F1162" s="8" t="inlineStr">
        <is>
          <t>공사중단재개_안전대책</t>
        </is>
      </c>
      <c r="G1162" s="24" t="inlineStr">
        <is>
          <t>건설경기 침체 및 사업자의 자금사정 등으로 인하여 시공 중 중단되는 건축현장이 발생하고 있다. 공사 중단시 안전대책과 재개시 안전대책에 대하여 설명하시오.</t>
        </is>
      </c>
    </row>
    <row r="1163" customFormat="1" s="1">
      <c r="A1163" s="6" t="n">
        <v>853</v>
      </c>
      <c r="B1163" s="145" t="n">
        <v>100</v>
      </c>
      <c r="C1163" s="146" t="n">
        <v>2</v>
      </c>
      <c r="D1163" s="7" t="n">
        <v>4</v>
      </c>
      <c r="E1163" s="6" t="inlineStr">
        <is>
          <t>재해유형</t>
        </is>
      </c>
      <c r="F1163" s="8" t="inlineStr">
        <is>
          <t>전기재해</t>
        </is>
      </c>
      <c r="G1163" s="24" t="inlineStr">
        <is>
          <t>건설현장의 전기재해 원인 및 방지대책에 대하여 설명하시오.</t>
        </is>
      </c>
    </row>
    <row r="1164" customFormat="1" s="1">
      <c r="A1164" s="6" t="n">
        <v>854</v>
      </c>
      <c r="B1164" s="145" t="n">
        <v>100</v>
      </c>
      <c r="C1164" s="146" t="n">
        <v>2</v>
      </c>
      <c r="D1164" s="7" t="n">
        <v>5</v>
      </c>
      <c r="E1164" s="6" t="inlineStr">
        <is>
          <t>콘크리트</t>
        </is>
      </c>
      <c r="F1164" s="8" t="inlineStr">
        <is>
          <t>내구성저하</t>
        </is>
      </c>
      <c r="G1164" s="24" t="inlineStr">
        <is>
          <t>콘크리트 구조물이 내구성 저하 원인과 방지대책에 대하여 설명하시오.</t>
        </is>
      </c>
    </row>
    <row r="1165" customFormat="1" s="1">
      <c r="A1165" s="6" t="n">
        <v>855</v>
      </c>
      <c r="B1165" s="145" t="n">
        <v>100</v>
      </c>
      <c r="C1165" s="146" t="n">
        <v>2</v>
      </c>
      <c r="D1165" s="7" t="n">
        <v>6</v>
      </c>
      <c r="E1165" s="6" t="inlineStr">
        <is>
          <t>기초</t>
        </is>
      </c>
      <c r="F1165" s="8" t="inlineStr">
        <is>
          <t>어스앵커공법</t>
        </is>
      </c>
      <c r="G1165" s="24" t="inlineStr">
        <is>
          <t>어스앵카(Earth Anchor)공법과 시공시 안전대책에 대하여 설명하시오.</t>
        </is>
      </c>
    </row>
    <row r="1166" customFormat="1" s="1">
      <c r="A1166" s="6" t="n">
        <v>856</v>
      </c>
      <c r="B1166" s="145" t="n">
        <v>100</v>
      </c>
      <c r="C1166" s="146" t="n">
        <v>3</v>
      </c>
      <c r="D1166" s="7" t="n">
        <v>1</v>
      </c>
      <c r="E1166" s="6" t="inlineStr">
        <is>
          <t>토공</t>
        </is>
      </c>
      <c r="F1166" s="8" t="inlineStr">
        <is>
          <t>암반사면_안정</t>
        </is>
      </c>
      <c r="G1166" s="24" t="inlineStr">
        <is>
          <t>대절토 암반사면의 절개시 사면안정에 영향을 미치는 요인과 안정대책에 대하여 설명하시오.</t>
        </is>
      </c>
    </row>
    <row r="1167" customFormat="1" s="1">
      <c r="A1167" s="6" t="n">
        <v>857</v>
      </c>
      <c r="B1167" s="145" t="n">
        <v>100</v>
      </c>
      <c r="C1167" s="146" t="n">
        <v>3</v>
      </c>
      <c r="D1167" s="7" t="n">
        <v>2</v>
      </c>
      <c r="E1167" s="6" t="inlineStr">
        <is>
          <t>토공</t>
        </is>
      </c>
      <c r="F1167" s="8" t="inlineStr">
        <is>
          <t>수직배수_preloading</t>
        </is>
      </c>
      <c r="G1167" s="24" t="inlineStr">
        <is>
          <t>Vertical drain공법과 preloading공법의 원리와 Preloading공법에 비하여 Vertical drain공법의 압밀기간이 현저히 단축되는 이유를 설명하시오.</t>
        </is>
      </c>
    </row>
    <row r="1168" customFormat="1" s="1">
      <c r="A1168" s="6" t="n">
        <v>858</v>
      </c>
      <c r="B1168" s="145" t="n">
        <v>100</v>
      </c>
      <c r="C1168" s="146" t="n">
        <v>3</v>
      </c>
      <c r="D1168" s="7" t="n">
        <v>3</v>
      </c>
      <c r="E1168" s="6" t="inlineStr">
        <is>
          <t>철골</t>
        </is>
      </c>
      <c r="F1168" s="8" t="inlineStr">
        <is>
          <t>철골건립계획_재해방지철물</t>
        </is>
      </c>
      <c r="G1168" s="24" t="inlineStr">
        <is>
          <t>대형 발전플랜트 건설현장 철골공사시 건립계획 수립시 검토할 사항과 건립 전 철골부재에 부착해야 할 재해방지용 철물에 대하여 설명하시오.</t>
        </is>
      </c>
    </row>
    <row r="1169" customFormat="1" s="1">
      <c r="A1169" s="6" t="n">
        <v>859</v>
      </c>
      <c r="B1169" s="145" t="n">
        <v>100</v>
      </c>
      <c r="C1169" s="146" t="n">
        <v>3</v>
      </c>
      <c r="D1169" s="7" t="n">
        <v>4</v>
      </c>
      <c r="E1169" s="6" t="inlineStr">
        <is>
          <t>기초</t>
        </is>
      </c>
      <c r="F1169" s="8" t="inlineStr">
        <is>
          <t>흙막이벽_수평변위침하</t>
        </is>
      </c>
      <c r="G1169" s="24" t="inlineStr">
        <is>
          <t>우기철 도심지에서 지하 5층 깊이의 굴착공사시 “흙막이벽의 수평변위와 인접지반의 침하원인”과 “설계 및 공사중 안전대책”에 대하여 설명하시오.</t>
        </is>
      </c>
    </row>
    <row r="1170" customFormat="1" s="1">
      <c r="A1170" s="6" t="n">
        <v>860</v>
      </c>
      <c r="B1170" s="145" t="n">
        <v>100</v>
      </c>
      <c r="C1170" s="146" t="n">
        <v>3</v>
      </c>
      <c r="D1170" s="7" t="n">
        <v>5</v>
      </c>
      <c r="E1170" s="6" t="inlineStr">
        <is>
          <t>안전관리론</t>
        </is>
      </c>
      <c r="F1170" s="8" t="inlineStr">
        <is>
          <t>외국인근로자_안전관리</t>
        </is>
      </c>
      <c r="G1170" s="24" t="inlineStr">
        <is>
          <t>건설현장의 외국인 근로자에 대한 안전관리상 문제점 및 대책에 대하여 설명하시오.</t>
        </is>
      </c>
    </row>
    <row r="1171" customFormat="1" s="1">
      <c r="A1171" s="6" t="n">
        <v>861</v>
      </c>
      <c r="B1171" s="145" t="n">
        <v>100</v>
      </c>
      <c r="C1171" s="146" t="n">
        <v>3</v>
      </c>
      <c r="D1171" s="7" t="n">
        <v>6</v>
      </c>
      <c r="E1171" s="6" t="inlineStr">
        <is>
          <t>가설공사</t>
        </is>
      </c>
      <c r="F1171" s="8" t="inlineStr">
        <is>
          <t>거푸집동바리_붕괴원인</t>
        </is>
      </c>
      <c r="G1171" s="24" t="inlineStr">
        <is>
          <t>큰크리트 타설시 거푸집 및 동바리 붕괴재해의 원인과 안전대책에 대하여 설명하시오. - 81회, 84회</t>
        </is>
      </c>
    </row>
    <row r="1172" customFormat="1" s="1">
      <c r="A1172" s="6" t="n">
        <v>862</v>
      </c>
      <c r="B1172" s="145" t="n">
        <v>100</v>
      </c>
      <c r="C1172" s="146" t="n">
        <v>4</v>
      </c>
      <c r="D1172" s="7" t="n">
        <v>1</v>
      </c>
      <c r="E1172" s="6" t="inlineStr">
        <is>
          <t>토공</t>
        </is>
      </c>
      <c r="F1172" s="8" t="inlineStr">
        <is>
          <t>사질토점성토_전단강도</t>
        </is>
      </c>
      <c r="G1172" s="24" t="inlineStr">
        <is>
          <t>사질토와 점성토 지반의전단강도 특성과 함수비가 높은 점성토 지반의 처리대책에 대하여 설명하시오.</t>
        </is>
      </c>
    </row>
    <row r="1173" customFormat="1" s="1">
      <c r="A1173" s="6" t="n">
        <v>863</v>
      </c>
      <c r="B1173" s="145" t="n">
        <v>100</v>
      </c>
      <c r="C1173" s="146" t="n">
        <v>4</v>
      </c>
      <c r="D1173" s="7" t="n">
        <v>2</v>
      </c>
      <c r="E1173" s="6" t="inlineStr">
        <is>
          <t>터널</t>
        </is>
      </c>
      <c r="F1173" s="8" t="inlineStr">
        <is>
          <t>NATM_지하수</t>
        </is>
      </c>
      <c r="G1173" s="24" t="inlineStr">
        <is>
          <t>지하수가 과다하게 발생되는 지반에서 NATM공법으로 대형터널 굴착시 문제점과 안전시공 대책 및 안전관리 방법에 대하여 설명하시오.</t>
        </is>
      </c>
    </row>
    <row r="1174" customFormat="1" s="1">
      <c r="A1174" s="6" t="n">
        <v>864</v>
      </c>
      <c r="B1174" s="145" t="n">
        <v>100</v>
      </c>
      <c r="C1174" s="146" t="n">
        <v>4</v>
      </c>
      <c r="D1174" s="7" t="n">
        <v>3</v>
      </c>
      <c r="E1174" s="6" t="inlineStr">
        <is>
          <t>시설물안전법</t>
        </is>
      </c>
      <c r="F1174" s="8" t="inlineStr">
        <is>
          <t>건축물상태평가_보수보강</t>
        </is>
      </c>
      <c r="G1174" s="24" t="inlineStr">
        <is>
          <t>“시설물의 안전관리에 관한 특별법”상 건축물에 대한 상태평가항목 및 보수보강 방법에 대해 도시하여 설명하시오.</t>
        </is>
      </c>
    </row>
    <row r="1175" customFormat="1" s="1">
      <c r="A1175" s="6" t="n">
        <v>865</v>
      </c>
      <c r="B1175" s="145" t="n">
        <v>100</v>
      </c>
      <c r="C1175" s="146" t="n">
        <v>4</v>
      </c>
      <c r="D1175" s="7" t="n">
        <v>4</v>
      </c>
      <c r="E1175" s="6" t="inlineStr">
        <is>
          <t>가설공사</t>
        </is>
      </c>
      <c r="F1175" s="8" t="inlineStr">
        <is>
          <t>비계재해_안전수칙</t>
        </is>
      </c>
      <c r="G1175" s="24" t="inlineStr">
        <is>
          <t>비계에서 발생할 수 있는 재해유형 및 안전수칙에 대하여 설명하시오.</t>
        </is>
      </c>
    </row>
    <row r="1176" customFormat="1" s="1">
      <c r="A1176" s="6" t="n">
        <v>866</v>
      </c>
      <c r="B1176" s="145" t="n">
        <v>100</v>
      </c>
      <c r="C1176" s="146" t="n">
        <v>4</v>
      </c>
      <c r="D1176" s="7" t="n">
        <v>5</v>
      </c>
      <c r="E1176" s="6" t="inlineStr">
        <is>
          <t>교량</t>
        </is>
      </c>
      <c r="F1176" s="8" t="inlineStr">
        <is>
          <t>하상준설_세굴방지</t>
        </is>
      </c>
      <c r="G1176" s="24" t="inlineStr">
        <is>
          <t>하상준설에 의하여 하상고가 낮아짐에 따라 기존교량의 기초보강 및 세굴방지공 설치방안에 대하여 설명하시오.</t>
        </is>
      </c>
    </row>
    <row r="1177" customFormat="1" s="1">
      <c r="A1177" s="6" t="n">
        <v>867</v>
      </c>
      <c r="B1177" s="145" t="n">
        <v>100</v>
      </c>
      <c r="C1177" s="146" t="n">
        <v>4</v>
      </c>
      <c r="D1177" s="7" t="n">
        <v>6</v>
      </c>
      <c r="E1177" s="6" t="inlineStr">
        <is>
          <t>콘크리트</t>
        </is>
      </c>
      <c r="F1177" s="8" t="inlineStr">
        <is>
          <t>콘크리트강도_조기판정</t>
        </is>
      </c>
      <c r="G1177" s="24" t="inlineStr">
        <is>
          <t>콘크리트 공사에서 콘크리트 강도의 조기판정이 필요한 이유와 조기판정법에 대하여 설명하시오</t>
        </is>
      </c>
    </row>
    <row r="1178" customFormat="1" s="1">
      <c r="A1178" s="6" t="n">
        <v>806</v>
      </c>
      <c r="B1178" s="145" t="n">
        <v>99</v>
      </c>
      <c r="C1178" s="146" t="n">
        <v>1</v>
      </c>
      <c r="D1178" s="7" t="n">
        <v>1</v>
      </c>
      <c r="E1178" s="6" t="inlineStr">
        <is>
          <t>가설공사</t>
        </is>
      </c>
      <c r="F1178" s="8" t="inlineStr">
        <is>
          <t>달대비계</t>
        </is>
      </c>
      <c r="G1178" s="24" t="inlineStr">
        <is>
          <t>달대비계</t>
        </is>
      </c>
    </row>
    <row r="1179" customFormat="1" s="1">
      <c r="A1179" s="6" t="n">
        <v>807</v>
      </c>
      <c r="B1179" s="145" t="n">
        <v>99</v>
      </c>
      <c r="C1179" s="146" t="n">
        <v>1</v>
      </c>
      <c r="D1179" s="7" t="n">
        <v>2</v>
      </c>
      <c r="E1179" s="6" t="inlineStr">
        <is>
          <t>콘크리트</t>
        </is>
      </c>
      <c r="F1179" s="8" t="inlineStr">
        <is>
          <t>Creep_Relaxation</t>
        </is>
      </c>
      <c r="G1179" s="24" t="inlineStr">
        <is>
          <t>Creep 와 Relaxation</t>
        </is>
      </c>
    </row>
    <row r="1180" customFormat="1" s="1">
      <c r="A1180" s="6" t="n">
        <v>808</v>
      </c>
      <c r="B1180" s="145" t="n">
        <v>99</v>
      </c>
      <c r="C1180" s="146" t="n">
        <v>1</v>
      </c>
      <c r="D1180" s="7" t="n">
        <v>3</v>
      </c>
      <c r="E1180" s="6" t="inlineStr">
        <is>
          <t>안전관리론</t>
        </is>
      </c>
      <c r="F1180" s="8" t="inlineStr">
        <is>
          <t>긴장수준</t>
        </is>
      </c>
      <c r="G1180" s="24" t="inlineStr">
        <is>
          <t>긴장 수준 ( Tention Level)</t>
        </is>
      </c>
    </row>
    <row r="1181" customFormat="1" s="1">
      <c r="A1181" s="6" t="n">
        <v>809</v>
      </c>
      <c r="B1181" s="145" t="n">
        <v>99</v>
      </c>
      <c r="C1181" s="146" t="n">
        <v>1</v>
      </c>
      <c r="D1181" s="7" t="n">
        <v>4</v>
      </c>
      <c r="E1181" s="6" t="inlineStr">
        <is>
          <t>안전관리론</t>
        </is>
      </c>
      <c r="F1181" s="8" t="inlineStr">
        <is>
          <t>스트레스대처</t>
        </is>
      </c>
      <c r="G1181" s="24" t="inlineStr">
        <is>
          <t>작업자의 스트레스 대처</t>
        </is>
      </c>
    </row>
    <row r="1182" customFormat="1" s="1">
      <c r="A1182" s="6" t="n">
        <v>810</v>
      </c>
      <c r="B1182" s="145" t="n">
        <v>99</v>
      </c>
      <c r="C1182" s="146" t="n">
        <v>1</v>
      </c>
      <c r="D1182" s="7" t="n">
        <v>5</v>
      </c>
      <c r="E1182" s="6" t="inlineStr">
        <is>
          <t>건진법</t>
        </is>
      </c>
      <c r="F1182" s="8" t="inlineStr">
        <is>
          <t>안전점검실시</t>
        </is>
      </c>
      <c r="G1182" s="24" t="inlineStr">
        <is>
          <t>안전점검의 실시 ( 건설기술관리법 시행령)</t>
        </is>
      </c>
    </row>
    <row r="1183" customFormat="1" s="1">
      <c r="A1183" s="6" t="n">
        <v>811</v>
      </c>
      <c r="B1183" s="145" t="n">
        <v>99</v>
      </c>
      <c r="C1183" s="146" t="n">
        <v>1</v>
      </c>
      <c r="D1183" s="7" t="n">
        <v>6</v>
      </c>
      <c r="E1183" s="6" t="inlineStr">
        <is>
          <t>콘크리트</t>
        </is>
      </c>
      <c r="F1183" s="8" t="inlineStr">
        <is>
          <t>원형이형철근</t>
        </is>
      </c>
      <c r="G1183" s="24" t="inlineStr">
        <is>
          <t>원형철근과 이형철근</t>
        </is>
      </c>
    </row>
    <row r="1184" customFormat="1" s="1">
      <c r="A1184" s="6" t="n">
        <v>812</v>
      </c>
      <c r="B1184" s="145" t="n">
        <v>99</v>
      </c>
      <c r="C1184" s="146" t="n">
        <v>1</v>
      </c>
      <c r="D1184" s="7" t="n">
        <v>7</v>
      </c>
      <c r="E1184" s="6" t="inlineStr">
        <is>
          <t>시설물안전법</t>
        </is>
      </c>
      <c r="F1184" s="8" t="inlineStr">
        <is>
          <t>정밀안전진단_기존자료</t>
        </is>
      </c>
      <c r="G1184" s="24" t="inlineStr">
        <is>
          <t>정밀안전 진단시 기존자료 활용법</t>
        </is>
      </c>
    </row>
    <row r="1185" customFormat="1" s="1">
      <c r="A1185" s="6" t="n">
        <v>813</v>
      </c>
      <c r="B1185" s="145" t="n">
        <v>99</v>
      </c>
      <c r="C1185" s="146" t="n">
        <v>1</v>
      </c>
      <c r="D1185" s="7" t="n">
        <v>8</v>
      </c>
      <c r="E1185" s="6" t="inlineStr">
        <is>
          <t>안전관리론</t>
        </is>
      </c>
      <c r="F1185" s="8" t="inlineStr">
        <is>
          <t>인력운반_안전</t>
        </is>
      </c>
      <c r="G1185" s="24" t="inlineStr">
        <is>
          <t>인력운반의 작업안전</t>
        </is>
      </c>
    </row>
    <row r="1186" customFormat="1" s="1">
      <c r="A1186" s="6" t="n">
        <v>814</v>
      </c>
      <c r="B1186" s="145" t="n">
        <v>99</v>
      </c>
      <c r="C1186" s="146" t="n">
        <v>1</v>
      </c>
      <c r="D1186" s="7" t="n">
        <v>9</v>
      </c>
      <c r="E1186" s="6" t="inlineStr">
        <is>
          <t>안전관리론</t>
        </is>
      </c>
      <c r="F1186" s="8" t="inlineStr">
        <is>
          <t>안전설계기법</t>
        </is>
      </c>
      <c r="G1186" s="24" t="inlineStr">
        <is>
          <t>안전설계기법의 종류</t>
        </is>
      </c>
    </row>
    <row r="1187" customFormat="1" s="1">
      <c r="A1187" s="6" t="n">
        <v>815</v>
      </c>
      <c r="B1187" s="145" t="n">
        <v>99</v>
      </c>
      <c r="C1187" s="146" t="n">
        <v>1</v>
      </c>
      <c r="D1187" s="7" t="n">
        <v>10</v>
      </c>
      <c r="E1187" s="6" t="inlineStr">
        <is>
          <t>토공</t>
        </is>
      </c>
      <c r="F1187" s="8" t="inlineStr">
        <is>
          <t>단층(Fault)</t>
        </is>
      </c>
      <c r="G1187" s="24" t="inlineStr">
        <is>
          <t>단층 ( Fauit)</t>
        </is>
      </c>
    </row>
    <row r="1188" customFormat="1" s="1">
      <c r="A1188" s="6" t="n">
        <v>816</v>
      </c>
      <c r="B1188" s="145" t="n">
        <v>99</v>
      </c>
      <c r="C1188" s="146" t="n">
        <v>1</v>
      </c>
      <c r="D1188" s="7" t="n">
        <v>11</v>
      </c>
      <c r="E1188" s="6" t="inlineStr">
        <is>
          <t>콘크리트</t>
        </is>
      </c>
      <c r="F1188" s="8" t="inlineStr">
        <is>
          <t>강도설계법_한계상태</t>
        </is>
      </c>
      <c r="G1188" s="24" t="inlineStr">
        <is>
          <t>강도설계법과 한계상태 설계법</t>
        </is>
      </c>
    </row>
    <row r="1189" customFormat="1" s="1">
      <c r="A1189" s="6" t="n">
        <v>817</v>
      </c>
      <c r="B1189" s="145" t="n">
        <v>99</v>
      </c>
      <c r="C1189" s="146" t="n">
        <v>1</v>
      </c>
      <c r="D1189" s="7" t="n">
        <v>12</v>
      </c>
      <c r="E1189" s="6" t="inlineStr">
        <is>
          <t>안전관리론</t>
        </is>
      </c>
      <c r="F1189" s="8" t="inlineStr">
        <is>
          <t>인간모니터링</t>
        </is>
      </c>
      <c r="G1189" s="24" t="inlineStr">
        <is>
          <t>인간에 대한 모니터링 ( Monitoring) 방식</t>
        </is>
      </c>
    </row>
    <row r="1190" customFormat="1" s="1">
      <c r="A1190" s="6" t="n">
        <v>818</v>
      </c>
      <c r="B1190" s="145" t="n">
        <v>99</v>
      </c>
      <c r="C1190" s="146" t="n">
        <v>1</v>
      </c>
      <c r="D1190" s="7" t="n">
        <v>13</v>
      </c>
      <c r="E1190" s="6" t="inlineStr">
        <is>
          <t>토공</t>
        </is>
      </c>
      <c r="F1190" s="8" t="inlineStr">
        <is>
          <t>평사투영법</t>
        </is>
      </c>
      <c r="G1190" s="24" t="inlineStr">
        <is>
          <t>평사투영법 ( Stereographic Projection Method)</t>
        </is>
      </c>
    </row>
    <row r="1191" customFormat="1" s="1">
      <c r="A1191" s="6" t="n">
        <v>819</v>
      </c>
      <c r="B1191" s="145" t="n">
        <v>99</v>
      </c>
      <c r="C1191" s="146" t="n">
        <v>2</v>
      </c>
      <c r="D1191" s="7" t="n">
        <v>1</v>
      </c>
      <c r="E1191" s="6" t="inlineStr">
        <is>
          <t>시설물안전법</t>
        </is>
      </c>
      <c r="F1191" s="8" t="inlineStr">
        <is>
          <t>시설물안전기본계획</t>
        </is>
      </c>
      <c r="G1191" s="24" t="inlineStr">
        <is>
          <t>정부에서는 제3차 시설물안전 및 유지관리에 대한 기본계획을 수립,시행하고 있다 이와 관련한 기본계획 중점추진 과제및 문제점에 대하여 설명하시오.</t>
        </is>
      </c>
    </row>
    <row r="1192" customFormat="1" s="1">
      <c r="A1192" s="6" t="n">
        <v>820</v>
      </c>
      <c r="B1192" s="145" t="n">
        <v>99</v>
      </c>
      <c r="C1192" s="146" t="n">
        <v>2</v>
      </c>
      <c r="D1192" s="7" t="n">
        <v>2</v>
      </c>
      <c r="E1192" s="6" t="inlineStr">
        <is>
          <t>안전관리론</t>
        </is>
      </c>
      <c r="F1192" s="8" t="inlineStr">
        <is>
          <t>인간과기계비교</t>
        </is>
      </c>
      <c r="G1192" s="24" t="inlineStr">
        <is>
          <t>인간과 기계를 비교하고 그특징과 인간의 작업자세의 결정조건에 대하여 설명하시오.</t>
        </is>
      </c>
    </row>
    <row r="1193" customFormat="1" s="1">
      <c r="A1193" s="6" t="n">
        <v>821</v>
      </c>
      <c r="B1193" s="145" t="n">
        <v>99</v>
      </c>
      <c r="C1193" s="146" t="n">
        <v>2</v>
      </c>
      <c r="D1193" s="7" t="n">
        <v>3</v>
      </c>
      <c r="E1193" s="6" t="inlineStr">
        <is>
          <t>산안법</t>
        </is>
      </c>
      <c r="F1193" s="8" t="inlineStr">
        <is>
          <t>산안법벌칙</t>
        </is>
      </c>
      <c r="G1193" s="24" t="inlineStr">
        <is>
          <t>건설현장에서 산업안전보건법을 위반하였을때 가해지는 산업안전보건법에 의한 벌칙에 대하여 설명하시오.</t>
        </is>
      </c>
    </row>
    <row r="1194" customFormat="1" s="1">
      <c r="A1194" s="6" t="n">
        <v>822</v>
      </c>
      <c r="B1194" s="145" t="n">
        <v>99</v>
      </c>
      <c r="C1194" s="146" t="n">
        <v>2</v>
      </c>
      <c r="D1194" s="7" t="n">
        <v>4</v>
      </c>
      <c r="E1194" s="6" t="inlineStr">
        <is>
          <t>콘크리트</t>
        </is>
      </c>
      <c r="F1194" s="8" t="inlineStr">
        <is>
          <t>소성수축균열</t>
        </is>
      </c>
      <c r="G1194" s="24" t="inlineStr">
        <is>
          <t>내구성이 요구되는 콘크리트 구조물의 콘크리트 양생중 소성수축 균열시 그원인과 복구대책에 대하여 설명 하시오.</t>
        </is>
      </c>
    </row>
    <row r="1195" customFormat="1" s="1">
      <c r="A1195" s="6" t="n">
        <v>823</v>
      </c>
      <c r="B1195" s="145" t="n">
        <v>99</v>
      </c>
      <c r="C1195" s="146" t="n">
        <v>2</v>
      </c>
      <c r="D1195" s="7" t="n">
        <v>5</v>
      </c>
      <c r="E1195" s="6" t="inlineStr">
        <is>
          <t>기초</t>
        </is>
      </c>
      <c r="F1195" s="8" t="inlineStr">
        <is>
          <t>지하구조물_양압력부력</t>
        </is>
      </c>
      <c r="G1195" s="24" t="inlineStr">
        <is>
          <t>지하구조물에서 지하수 영향으로 발생하는 양입력과 부력의 차이점 및 방지대책에 대하여 설명하시오.</t>
        </is>
      </c>
    </row>
    <row r="1196" customFormat="1" s="1">
      <c r="A1196" s="6" t="n">
        <v>824</v>
      </c>
      <c r="B1196" s="145" t="n">
        <v>99</v>
      </c>
      <c r="C1196" s="146" t="n">
        <v>2</v>
      </c>
      <c r="D1196" s="7" t="n">
        <v>6</v>
      </c>
      <c r="E1196" s="6" t="inlineStr">
        <is>
          <t>토공</t>
        </is>
      </c>
      <c r="F1196" s="8" t="inlineStr">
        <is>
          <t>기대기옹벽</t>
        </is>
      </c>
      <c r="G1196" s="24" t="inlineStr">
        <is>
          <t>불안정한 깍기비탈면 표면을 보호하기 위하여 설치하는 기대기 옹벽의 적용기준과 안정성 검토항목에 대하여 설명,</t>
        </is>
      </c>
    </row>
    <row r="1197" customFormat="1" s="1">
      <c r="A1197" s="6" t="n">
        <v>825</v>
      </c>
      <c r="B1197" s="145" t="n">
        <v>99</v>
      </c>
      <c r="C1197" s="146" t="n">
        <v>3</v>
      </c>
      <c r="D1197" s="7" t="n">
        <v>1</v>
      </c>
      <c r="E1197" s="6" t="inlineStr">
        <is>
          <t>터널</t>
        </is>
      </c>
      <c r="F1197" s="8" t="inlineStr">
        <is>
          <t>수직터널_위험성평가</t>
        </is>
      </c>
      <c r="G1197" s="24" t="inlineStr">
        <is>
          <t>장대터널, 양수발전댐 등의 공사에서 수직터널작업시 위험성평가와 안전대책에 대하여 설명하시오.</t>
        </is>
      </c>
    </row>
    <row r="1198" customFormat="1" s="1">
      <c r="A1198" s="6" t="n">
        <v>826</v>
      </c>
      <c r="B1198" s="145" t="n">
        <v>99</v>
      </c>
      <c r="C1198" s="146" t="n">
        <v>3</v>
      </c>
      <c r="D1198" s="7" t="n">
        <v>2</v>
      </c>
      <c r="E1198" s="6" t="inlineStr">
        <is>
          <t>콘크리트</t>
        </is>
      </c>
      <c r="F1198" s="8" t="inlineStr">
        <is>
          <t>파괴비파괴시험</t>
        </is>
      </c>
      <c r="G1198" s="24" t="inlineStr">
        <is>
          <t>콘크리트 구조물의 파괴시험과 비파괴시험의 종류를 열거하고 그특징에 대하여 설명하시오.</t>
        </is>
      </c>
    </row>
    <row r="1199" customFormat="1" s="1">
      <c r="A1199" s="6" t="n">
        <v>827</v>
      </c>
      <c r="B1199" s="145" t="n">
        <v>99</v>
      </c>
      <c r="C1199" s="146" t="n">
        <v>3</v>
      </c>
      <c r="D1199" s="7" t="n">
        <v>3</v>
      </c>
      <c r="E1199" s="6" t="inlineStr">
        <is>
          <t>산안법</t>
        </is>
      </c>
      <c r="F1199" s="8" t="inlineStr">
        <is>
          <t>유해위험방지계획서</t>
        </is>
      </c>
      <c r="G1199" s="24" t="inlineStr">
        <is>
          <t>유해위험방지계획서 작성시 위험성 평가절차 및 단계별 수행방법에 대하여 설명하시오.</t>
        </is>
      </c>
    </row>
    <row r="1200" customFormat="1" s="1">
      <c r="A1200" s="6" t="n">
        <v>828</v>
      </c>
      <c r="B1200" s="145" t="n">
        <v>99</v>
      </c>
      <c r="C1200" s="146" t="n">
        <v>3</v>
      </c>
      <c r="D1200" s="7" t="n">
        <v>4</v>
      </c>
      <c r="E1200" s="6" t="inlineStr">
        <is>
          <t>가설공사</t>
        </is>
      </c>
      <c r="F1200" s="8" t="inlineStr">
        <is>
          <t>추락방지망_상세</t>
        </is>
      </c>
      <c r="G1200" s="24" t="inlineStr">
        <is>
          <t>건설재해중 다발, 재래형이면서 중대재해를 유발하는 추락재해를 예방하기 위해서는 작업전 추락재해방지시설의 올바른 설치가 필수적인데 추락방지망에 관한 구조, 정기시험, 설치도, 허용낙하높이 등에 대하여 설명하시오.</t>
        </is>
      </c>
    </row>
    <row r="1201" customFormat="1" s="1">
      <c r="A1201" s="6" t="n">
        <v>829</v>
      </c>
      <c r="B1201" s="145" t="n">
        <v>99</v>
      </c>
      <c r="C1201" s="146" t="n">
        <v>3</v>
      </c>
      <c r="D1201" s="7" t="n">
        <v>5</v>
      </c>
      <c r="E1201" s="6" t="inlineStr">
        <is>
          <t>건진법</t>
        </is>
      </c>
      <c r="F1201" s="8" t="inlineStr">
        <is>
          <t>안전관리비계상</t>
        </is>
      </c>
      <c r="G1201" s="24" t="inlineStr">
        <is>
          <t>건설기술관리법에서 개정한 안전관리비 계상및 사용기준에 대하여 설명하시오.</t>
        </is>
      </c>
    </row>
    <row r="1202" customFormat="1" s="1">
      <c r="A1202" s="6" t="n">
        <v>830</v>
      </c>
      <c r="B1202" s="145" t="n">
        <v>99</v>
      </c>
      <c r="C1202" s="146" t="n">
        <v>3</v>
      </c>
      <c r="D1202" s="7" t="n">
        <v>6</v>
      </c>
      <c r="E1202" s="6" t="inlineStr">
        <is>
          <t>기초</t>
        </is>
      </c>
      <c r="F1202" s="8" t="inlineStr">
        <is>
          <t>얕은기초_파괴형태</t>
        </is>
      </c>
      <c r="G1202" s="24" t="inlineStr">
        <is>
          <t>얕은기초( Footing) 지반(토사)의 파괴형태와 주요파괴 원인 및 안전대책에 대하여 설명 하시오.</t>
        </is>
      </c>
    </row>
    <row r="1203" customFormat="1" s="1">
      <c r="A1203" s="6" t="n">
        <v>831</v>
      </c>
      <c r="B1203" s="145" t="n">
        <v>99</v>
      </c>
      <c r="C1203" s="146" t="n">
        <v>4</v>
      </c>
      <c r="D1203" s="7" t="n">
        <v>1</v>
      </c>
      <c r="E1203" s="6" t="inlineStr">
        <is>
          <t>강재</t>
        </is>
      </c>
      <c r="F1203" s="8" t="inlineStr">
        <is>
          <t>용접결함</t>
        </is>
      </c>
      <c r="G1203" s="24" t="inlineStr">
        <is>
          <t>강재의 용접시 용접부의 각종결함의 원인과 방지대책 및 검사방법에 대하여 설명하시오.</t>
        </is>
      </c>
    </row>
    <row r="1204" customFormat="1" s="1">
      <c r="A1204" s="6" t="n">
        <v>832</v>
      </c>
      <c r="B1204" s="145" t="n">
        <v>99</v>
      </c>
      <c r="C1204" s="146" t="n">
        <v>4</v>
      </c>
      <c r="D1204" s="7" t="n">
        <v>2</v>
      </c>
      <c r="E1204" s="6" t="inlineStr">
        <is>
          <t>교량</t>
        </is>
      </c>
      <c r="F1204" s="8" t="inlineStr">
        <is>
          <t>교량BMS_보수계획</t>
        </is>
      </c>
      <c r="G1204" s="24" t="inlineStr">
        <is>
          <t>교량의 안전점검과 유지보수(BMS) 를 위한 조사및 평가 그리고 보수방법과 보수계획 설계시 고려해야 할 사항에 대하여 설명하시오.</t>
        </is>
      </c>
    </row>
    <row r="1205" customFormat="1" s="1">
      <c r="A1205" s="6" t="n">
        <v>833</v>
      </c>
      <c r="B1205" s="145" t="n">
        <v>99</v>
      </c>
      <c r="C1205" s="146" t="n">
        <v>4</v>
      </c>
      <c r="D1205" s="7" t="n">
        <v>3</v>
      </c>
      <c r="E1205" s="6" t="inlineStr">
        <is>
          <t>콘크리트</t>
        </is>
      </c>
      <c r="F1205" s="8" t="inlineStr">
        <is>
          <t>스마트콘크리트</t>
        </is>
      </c>
      <c r="G1205" s="24" t="inlineStr">
        <is>
          <t>스마트콘크리트의 구성원리및 종류, 안전대책등에 대하여 설명하시오.</t>
        </is>
      </c>
    </row>
    <row r="1206" customFormat="1" s="1">
      <c r="A1206" s="6" t="n">
        <v>834</v>
      </c>
      <c r="B1206" s="145" t="n">
        <v>99</v>
      </c>
      <c r="C1206" s="146" t="n">
        <v>4</v>
      </c>
      <c r="D1206" s="7" t="n">
        <v>4</v>
      </c>
      <c r="E1206" s="6" t="inlineStr">
        <is>
          <t>재해유형</t>
        </is>
      </c>
      <c r="F1206" s="8" t="inlineStr">
        <is>
          <t>집단시설화재_방화계획</t>
        </is>
      </c>
      <c r="G1206" s="24" t="inlineStr">
        <is>
          <t>집단관리시설의 화재사고등에 따른 중대재해 발생이 증가하고 있다 집단관리시설의 문제점, 방화계획및 화재관련 안전대책에 대하여 설명하시오.</t>
        </is>
      </c>
    </row>
    <row r="1207" customFormat="1" s="1">
      <c r="A1207" s="6" t="n">
        <v>835</v>
      </c>
      <c r="B1207" s="145" t="n">
        <v>99</v>
      </c>
      <c r="C1207" s="146" t="n">
        <v>4</v>
      </c>
      <c r="D1207" s="7" t="n">
        <v>5</v>
      </c>
      <c r="E1207" s="6" t="inlineStr">
        <is>
          <t>기타</t>
        </is>
      </c>
      <c r="F1207" s="8" t="inlineStr">
        <is>
          <t>철도노반공사</t>
        </is>
      </c>
      <c r="G1207" s="24" t="inlineStr">
        <is>
          <t>철도공사에서 시스템분야 ( 궤도, 건축,전력, 전차선, 신호, 통신등)와 연계하여 노반공사 시공시 고려해야할 사항에 대하여 설명하시오.</t>
        </is>
      </c>
    </row>
    <row r="1208" customFormat="1" s="1">
      <c r="A1208" s="6" t="n">
        <v>836</v>
      </c>
      <c r="B1208" s="145" t="n">
        <v>99</v>
      </c>
      <c r="C1208" s="146" t="n">
        <v>4</v>
      </c>
      <c r="D1208" s="7" t="n">
        <v>6</v>
      </c>
      <c r="E1208" s="6" t="inlineStr">
        <is>
          <t>시설물안전법</t>
        </is>
      </c>
      <c r="F1208" s="8" t="inlineStr">
        <is>
          <t>건축물지하도상가_시설물분류</t>
        </is>
      </c>
      <c r="G1208" s="24" t="inlineStr">
        <is>
          <t>시설물의 안전관리에 관한 특별법에서 규정하고 있는 건축물 및 지하도상가에 관한 다음사항에 대하여 설명하시오. 1) 1종,2종 시설물의 범위 2) 안전점검과 정밀안전진단 실시 3) 대통령령이 정하는 중대결함의 적용범위</t>
        </is>
      </c>
    </row>
    <row r="1209" customFormat="1" s="1">
      <c r="A1209" s="6" t="n">
        <v>776</v>
      </c>
      <c r="B1209" s="145" t="n">
        <v>96</v>
      </c>
      <c r="C1209" s="146" t="n">
        <v>1</v>
      </c>
      <c r="D1209" s="7" t="n">
        <v>1</v>
      </c>
      <c r="E1209" s="6" t="inlineStr">
        <is>
          <t>안전관리론</t>
        </is>
      </c>
      <c r="F1209" s="8" t="inlineStr">
        <is>
          <t>등치성_재해요소결합</t>
        </is>
      </c>
      <c r="G1209" s="24" t="inlineStr">
        <is>
          <t>재해요소 결합구조(등치성)</t>
        </is>
      </c>
    </row>
    <row r="1210" customFormat="1" s="1">
      <c r="A1210" s="6" t="n">
        <v>777</v>
      </c>
      <c r="B1210" s="145" t="n">
        <v>96</v>
      </c>
      <c r="C1210" s="146" t="n">
        <v>1</v>
      </c>
      <c r="D1210" s="7" t="n">
        <v>2</v>
      </c>
      <c r="E1210" s="6" t="inlineStr">
        <is>
          <t>강재</t>
        </is>
      </c>
      <c r="F1210" s="8" t="inlineStr">
        <is>
          <t>좌굴(buckling)</t>
        </is>
      </c>
      <c r="G1210" s="24" t="inlineStr">
        <is>
          <t>좌굴(buckling)</t>
        </is>
      </c>
    </row>
    <row r="1211" customFormat="1" s="1">
      <c r="A1211" s="6" t="n">
        <v>778</v>
      </c>
      <c r="B1211" s="145" t="n">
        <v>96</v>
      </c>
      <c r="C1211" s="146" t="n">
        <v>1</v>
      </c>
      <c r="D1211" s="7" t="n">
        <v>3</v>
      </c>
      <c r="E1211" s="6" t="inlineStr">
        <is>
          <t>기초</t>
        </is>
      </c>
      <c r="F1211" s="8" t="inlineStr">
        <is>
          <t>양압력</t>
        </is>
      </c>
      <c r="G1211" s="24" t="inlineStr">
        <is>
          <t>기초구조물에 작용하는 양압력</t>
        </is>
      </c>
    </row>
    <row r="1212" customFormat="1" s="1">
      <c r="A1212" s="6" t="n">
        <v>779</v>
      </c>
      <c r="B1212" s="145" t="n">
        <v>96</v>
      </c>
      <c r="C1212" s="146" t="n">
        <v>1</v>
      </c>
      <c r="D1212" s="7" t="n">
        <v>4</v>
      </c>
      <c r="E1212" s="6" t="inlineStr">
        <is>
          <t>산안법</t>
        </is>
      </c>
      <c r="F1212" s="8" t="inlineStr">
        <is>
          <t>안전대폐기기준</t>
        </is>
      </c>
      <c r="G1212" s="24" t="inlineStr">
        <is>
          <t>안전대의 폐기기준</t>
        </is>
      </c>
    </row>
    <row r="1213" customFormat="1" s="1">
      <c r="A1213" s="6" t="n">
        <v>780</v>
      </c>
      <c r="B1213" s="145" t="n">
        <v>96</v>
      </c>
      <c r="C1213" s="146" t="n">
        <v>1</v>
      </c>
      <c r="D1213" s="7" t="n">
        <v>5</v>
      </c>
      <c r="E1213" s="6" t="inlineStr">
        <is>
          <t>안전관리론</t>
        </is>
      </c>
      <c r="F1213" s="8" t="inlineStr">
        <is>
          <t>매슬로우욕구단계</t>
        </is>
      </c>
      <c r="G1213" s="24" t="inlineStr">
        <is>
          <t>A.H Maslow의 욕구단계</t>
        </is>
      </c>
    </row>
    <row r="1214" customFormat="1" s="1">
      <c r="A1214" s="6" t="n">
        <v>781</v>
      </c>
      <c r="B1214" s="145" t="n">
        <v>96</v>
      </c>
      <c r="C1214" s="146" t="n">
        <v>1</v>
      </c>
      <c r="D1214" s="7" t="n">
        <v>6</v>
      </c>
      <c r="E1214" s="6" t="inlineStr">
        <is>
          <t>콘크리트</t>
        </is>
      </c>
      <c r="F1214" s="8" t="inlineStr">
        <is>
          <t>배합강도_설계기준강도</t>
        </is>
      </c>
      <c r="G1214" s="24" t="inlineStr">
        <is>
          <t>배합강도와 설계기준강도</t>
        </is>
      </c>
    </row>
    <row r="1215" customFormat="1" s="1">
      <c r="A1215" s="6" t="n">
        <v>782</v>
      </c>
      <c r="B1215" s="145" t="n">
        <v>96</v>
      </c>
      <c r="C1215" s="146" t="n">
        <v>1</v>
      </c>
      <c r="D1215" s="7" t="n">
        <v>7</v>
      </c>
      <c r="E1215" s="6" t="inlineStr">
        <is>
          <t>터널</t>
        </is>
      </c>
      <c r="F1215" s="8" t="inlineStr">
        <is>
          <t>포어폴링_파이프루프</t>
        </is>
      </c>
      <c r="G1215" s="24" t="inlineStr">
        <is>
          <t>터널에서 훠폴링(Fore poling) 파이프루프</t>
        </is>
      </c>
    </row>
    <row r="1216" customFormat="1" s="1">
      <c r="A1216" s="6" t="n">
        <v>783</v>
      </c>
      <c r="B1216" s="145" t="n">
        <v>96</v>
      </c>
      <c r="C1216" s="146" t="n">
        <v>1</v>
      </c>
      <c r="D1216" s="7" t="n">
        <v>8</v>
      </c>
      <c r="E1216" s="6" t="inlineStr">
        <is>
          <t>토공</t>
        </is>
      </c>
      <c r="F1216" s="8" t="inlineStr">
        <is>
          <t>Vane Test</t>
        </is>
      </c>
      <c r="G1216" s="24" t="inlineStr">
        <is>
          <t>Vane Test</t>
        </is>
      </c>
    </row>
    <row r="1217" customFormat="1" s="1">
      <c r="A1217" s="6" t="n">
        <v>784</v>
      </c>
      <c r="B1217" s="145" t="n">
        <v>96</v>
      </c>
      <c r="C1217" s="146" t="n">
        <v>1</v>
      </c>
      <c r="D1217" s="7" t="n">
        <v>9</v>
      </c>
      <c r="E1217" s="6" t="inlineStr">
        <is>
          <t>안전관리론</t>
        </is>
      </c>
      <c r="F1217" s="8" t="inlineStr">
        <is>
          <t>작업강도요인</t>
        </is>
      </c>
      <c r="G1217" s="24" t="inlineStr">
        <is>
          <t>근로자 작업강도에 영향을 미치는 요인</t>
        </is>
      </c>
    </row>
    <row r="1218" customFormat="1" s="1">
      <c r="A1218" s="6" t="n">
        <v>785</v>
      </c>
      <c r="B1218" s="145" t="n">
        <v>96</v>
      </c>
      <c r="C1218" s="146" t="n">
        <v>1</v>
      </c>
      <c r="D1218" s="7" t="n">
        <v>10</v>
      </c>
      <c r="E1218" s="6" t="inlineStr">
        <is>
          <t>콘크리트</t>
        </is>
      </c>
      <c r="F1218" s="8" t="inlineStr">
        <is>
          <t>콘크리트헤드_측압</t>
        </is>
      </c>
      <c r="G1218" s="24" t="inlineStr">
        <is>
          <t>Concrete Head(콘크리트 타설시 측압 관련)</t>
        </is>
      </c>
    </row>
    <row r="1219" customFormat="1" s="1">
      <c r="A1219" s="6" t="n">
        <v>786</v>
      </c>
      <c r="B1219" s="145" t="n">
        <v>96</v>
      </c>
      <c r="C1219" s="146" t="n">
        <v>1</v>
      </c>
      <c r="D1219" s="7" t="n">
        <v>11</v>
      </c>
      <c r="E1219" s="6" t="inlineStr">
        <is>
          <t>산안법</t>
        </is>
      </c>
      <c r="F1219" s="8" t="inlineStr">
        <is>
          <t>환산재해율</t>
        </is>
      </c>
      <c r="G1219" s="24" t="inlineStr">
        <is>
          <t>환산 재해율</t>
        </is>
      </c>
    </row>
    <row r="1220" customFormat="1" s="1">
      <c r="A1220" s="6" t="n">
        <v>787</v>
      </c>
      <c r="B1220" s="145" t="n">
        <v>96</v>
      </c>
      <c r="C1220" s="146" t="n">
        <v>1</v>
      </c>
      <c r="D1220" s="7" t="n">
        <v>12</v>
      </c>
      <c r="E1220" s="6" t="inlineStr">
        <is>
          <t>제방 댐 항만</t>
        </is>
      </c>
      <c r="F1220" s="8" t="inlineStr">
        <is>
          <t>하상계수</t>
        </is>
      </c>
      <c r="G1220" s="24" t="inlineStr">
        <is>
          <t>하상계수</t>
        </is>
      </c>
    </row>
    <row r="1221" customFormat="1" s="1">
      <c r="A1221" s="6" t="n">
        <v>788</v>
      </c>
      <c r="B1221" s="145" t="n">
        <v>96</v>
      </c>
      <c r="C1221" s="146" t="n">
        <v>1</v>
      </c>
      <c r="D1221" s="7" t="n">
        <v>13</v>
      </c>
      <c r="E1221" s="6" t="inlineStr">
        <is>
          <t>안전관리론</t>
        </is>
      </c>
      <c r="F1221" s="8" t="inlineStr">
        <is>
          <t>프로이드_적응기제</t>
        </is>
      </c>
      <c r="G1221" s="24" t="inlineStr">
        <is>
          <t>프로이드(Anne Freud)의 대표적인 적응기제(10가지)</t>
        </is>
      </c>
    </row>
    <row r="1222" customFormat="1" s="1">
      <c r="A1222" s="6" t="n">
        <v>789</v>
      </c>
      <c r="B1222" s="145" t="n">
        <v>96</v>
      </c>
      <c r="C1222" s="146" t="n">
        <v>2</v>
      </c>
      <c r="D1222" s="7" t="n">
        <v>2</v>
      </c>
      <c r="E1222" s="6" t="inlineStr">
        <is>
          <t>콘크리트</t>
        </is>
      </c>
      <c r="F1222" s="8" t="inlineStr">
        <is>
          <t>펌프카타설_재해</t>
        </is>
      </c>
      <c r="G1222" s="24" t="inlineStr">
        <is>
          <t>도심지 건설공사에서 콘크리트 타설시 펌프카를 주로 이용하는데, 펌프카에 의한 타설시 발생할 수 있는 재해의 종류와 안전대책을 설명하시오.</t>
        </is>
      </c>
    </row>
    <row r="1223" customFormat="1" s="1">
      <c r="A1223" s="6" t="n">
        <v>790</v>
      </c>
      <c r="B1223" s="145" t="n">
        <v>96</v>
      </c>
      <c r="C1223" s="146" t="n">
        <v>2</v>
      </c>
      <c r="D1223" s="7" t="n">
        <v>3</v>
      </c>
      <c r="E1223" s="6" t="inlineStr">
        <is>
          <t>시설물안전법</t>
        </is>
      </c>
      <c r="F1223" s="8" t="inlineStr">
        <is>
          <t>댐시설물_안전점검</t>
        </is>
      </c>
      <c r="G1223" s="24" t="inlineStr">
        <is>
          <t>“시설물의 안전관리에 관한 특별법”에서 정하고 있는 댐 시설물에 관한 다음 사항에 대해 설명하시오. - 1종 시설물 및 2종 시설물의 범위 - 안전점검과 정밀안전진단 실시 범위에 세부적인 대상시설 - 중대한 결함의 적용범위(시행령 기준)</t>
        </is>
      </c>
    </row>
    <row r="1224" customFormat="1" s="1">
      <c r="A1224" s="6" t="n">
        <v>791</v>
      </c>
      <c r="B1224" s="145" t="n">
        <v>96</v>
      </c>
      <c r="C1224" s="146" t="n">
        <v>2</v>
      </c>
      <c r="D1224" s="7" t="n">
        <v>4</v>
      </c>
      <c r="E1224" s="6" t="inlineStr">
        <is>
          <t>기초</t>
        </is>
      </c>
      <c r="F1224" s="8" t="inlineStr">
        <is>
          <t>하천근접굴착_지하수처리</t>
        </is>
      </c>
      <c r="G1224" s="24" t="inlineStr">
        <is>
          <t>하천에서 근접 굴착시 지하수처리공법의종류와 특징을 설명하시오.</t>
        </is>
      </c>
    </row>
    <row r="1225" customFormat="1" s="1">
      <c r="A1225" s="6" t="n">
        <v>792</v>
      </c>
      <c r="B1225" s="145" t="n">
        <v>96</v>
      </c>
      <c r="C1225" s="146" t="n">
        <v>2</v>
      </c>
      <c r="D1225" s="7" t="n">
        <v>5</v>
      </c>
      <c r="E1225" s="6" t="inlineStr">
        <is>
          <t>콘크리트</t>
        </is>
      </c>
      <c r="F1225" s="8" t="inlineStr">
        <is>
          <t>철근부식_메카니즘</t>
        </is>
      </c>
      <c r="G1225" s="24" t="inlineStr">
        <is>
          <t>철근부식의 메카니즘과 부식방지 대책에 대하여 설명하시오.</t>
        </is>
      </c>
    </row>
    <row r="1226" customFormat="1" s="1">
      <c r="A1226" s="6" t="n">
        <v>793</v>
      </c>
      <c r="B1226" s="145" t="n">
        <v>96</v>
      </c>
      <c r="C1226" s="146" t="n">
        <v>2</v>
      </c>
      <c r="D1226" s="7" t="n">
        <v>6</v>
      </c>
      <c r="E1226" s="6" t="inlineStr">
        <is>
          <t>토공</t>
        </is>
      </c>
      <c r="F1226" s="8" t="inlineStr">
        <is>
          <t>암반사면파괴_평사투영</t>
        </is>
      </c>
      <c r="G1226" s="24" t="inlineStr">
        <is>
          <t>산악지역 절개면 암반사면에서의 파괴유형과 안정성 해석 방법에서 평사투영에 의한 안정성 해석 방법을 설명하시오.</t>
        </is>
      </c>
    </row>
    <row r="1227" customFormat="1" s="1">
      <c r="A1227" s="6" t="n">
        <v>794</v>
      </c>
      <c r="B1227" s="145" t="n">
        <v>96</v>
      </c>
      <c r="C1227" s="146" t="n">
        <v>3</v>
      </c>
      <c r="D1227" s="7" t="n">
        <v>1</v>
      </c>
      <c r="E1227" s="6" t="inlineStr">
        <is>
          <t>산안법</t>
        </is>
      </c>
      <c r="F1227" s="8" t="inlineStr">
        <is>
          <t>자율안전컨설팅</t>
        </is>
      </c>
      <c r="G1227" s="24" t="inlineStr">
        <is>
          <t>자율안전컨설팅 제도의 효과와 개선방안에 대하여 설명하시오.</t>
        </is>
      </c>
    </row>
    <row r="1228" customFormat="1" s="1">
      <c r="A1228" s="6" t="n">
        <v>795</v>
      </c>
      <c r="B1228" s="145" t="n">
        <v>96</v>
      </c>
      <c r="C1228" s="146" t="n">
        <v>3</v>
      </c>
      <c r="D1228" s="7" t="n">
        <v>2</v>
      </c>
      <c r="E1228" s="6" t="inlineStr">
        <is>
          <t>콘크리트</t>
        </is>
      </c>
      <c r="F1228" s="8" t="inlineStr">
        <is>
          <t>구조물열화_보수방안</t>
        </is>
      </c>
      <c r="G1228" s="24" t="inlineStr">
        <is>
          <t>철근콘크리트 구조물이 열화되는 원인, 진단방법 및 보수방안에 대하여 설명하시오.</t>
        </is>
      </c>
    </row>
    <row r="1229" customFormat="1" s="1">
      <c r="A1229" s="6" t="n">
        <v>796</v>
      </c>
      <c r="B1229" s="145" t="n">
        <v>96</v>
      </c>
      <c r="C1229" s="146" t="n">
        <v>3</v>
      </c>
      <c r="D1229" s="7" t="n">
        <v>3</v>
      </c>
      <c r="E1229" s="6" t="inlineStr">
        <is>
          <t>토공</t>
        </is>
      </c>
      <c r="F1229" s="8" t="inlineStr">
        <is>
          <t>다짐공법_연약지반</t>
        </is>
      </c>
      <c r="G1229" s="24" t="inlineStr">
        <is>
          <t>연약지반 개량공법에서 다짐공법의 종류와 특징을 쓰고, 연약지반 개량공사시 중장비의 전도사고에 대한 예방대책을 설명하시오.</t>
        </is>
      </c>
    </row>
    <row r="1230" customFormat="1" s="1">
      <c r="A1230" s="6" t="n">
        <v>797</v>
      </c>
      <c r="B1230" s="145" t="n">
        <v>96</v>
      </c>
      <c r="C1230" s="146" t="n">
        <v>3</v>
      </c>
      <c r="D1230" s="7" t="n">
        <v>4</v>
      </c>
      <c r="E1230" s="6" t="inlineStr">
        <is>
          <t>해체공사</t>
        </is>
      </c>
      <c r="F1230" s="8" t="inlineStr">
        <is>
          <t>석면관리계획</t>
        </is>
      </c>
      <c r="G1230" s="24" t="inlineStr">
        <is>
          <t>정부는 5년마다 석면기본관리계획을 수립, 시행하여야 하는바, 기본계획에 포함할 사항, 건축물 석면의 관리 및 석면해체, 제거 작업기준에 대하여 설명하시오.</t>
        </is>
      </c>
    </row>
    <row r="1231" customFormat="1" s="1">
      <c r="A1231" s="6" t="n">
        <v>798</v>
      </c>
      <c r="B1231" s="145" t="n">
        <v>96</v>
      </c>
      <c r="C1231" s="146" t="n">
        <v>3</v>
      </c>
      <c r="D1231" s="7" t="n">
        <v>5</v>
      </c>
      <c r="E1231" s="6" t="inlineStr">
        <is>
          <t>콘크리트</t>
        </is>
      </c>
      <c r="F1231" s="8" t="inlineStr">
        <is>
          <t>콘크리트포장_안전대책</t>
        </is>
      </c>
      <c r="G1231" s="24" t="inlineStr">
        <is>
          <t>콘크리트 포장공사에서 시공방법에 따른 분류와 포장시공 과정별 시공시 안전대책을 설명하시오.</t>
        </is>
      </c>
    </row>
    <row r="1232" customFormat="1" s="1">
      <c r="A1232" s="6" t="n">
        <v>799</v>
      </c>
      <c r="B1232" s="145" t="n">
        <v>96</v>
      </c>
      <c r="C1232" s="146" t="n">
        <v>3</v>
      </c>
      <c r="D1232" s="7" t="n">
        <v>6</v>
      </c>
      <c r="E1232" s="6" t="inlineStr">
        <is>
          <t>건설기계</t>
        </is>
      </c>
      <c r="F1232" s="8" t="inlineStr">
        <is>
          <t>타워크레인_설치해체</t>
        </is>
      </c>
      <c r="G1232" s="24" t="inlineStr">
        <is>
          <t>타워크레인 설치 및 해체시 위험요인과 안전대책을 설명하시오.</t>
        </is>
      </c>
    </row>
    <row r="1233" customFormat="1" s="1">
      <c r="A1233" s="6" t="n">
        <v>800</v>
      </c>
      <c r="B1233" s="145" t="n">
        <v>96</v>
      </c>
      <c r="C1233" s="146" t="n">
        <v>4</v>
      </c>
      <c r="D1233" s="7" t="n">
        <v>1</v>
      </c>
      <c r="E1233" s="6" t="inlineStr">
        <is>
          <t>콘크리트</t>
        </is>
      </c>
      <c r="F1233" s="8" t="inlineStr">
        <is>
          <t>초기균열_저감방안</t>
        </is>
      </c>
      <c r="G1233" s="24" t="inlineStr">
        <is>
          <t>콘크리트 구조물의 최기균열 발생원인과 균열저감방안을 설명하시오.</t>
        </is>
      </c>
    </row>
    <row r="1234" customFormat="1" s="1">
      <c r="A1234" s="6" t="n">
        <v>801</v>
      </c>
      <c r="B1234" s="145" t="n">
        <v>96</v>
      </c>
      <c r="C1234" s="146" t="n">
        <v>4</v>
      </c>
      <c r="D1234" s="7" t="n">
        <v>2</v>
      </c>
      <c r="E1234" s="6" t="inlineStr">
        <is>
          <t>안전관리론</t>
        </is>
      </c>
      <c r="F1234" s="8" t="inlineStr">
        <is>
          <t>전문건설업체_안전향상</t>
        </is>
      </c>
      <c r="G1234" s="24" t="inlineStr">
        <is>
          <t>건설공사는 여러 분야의 전문업체가 협력하여 시설물을 완성하는 복합산업이다. 건설재해를 예방하기 위해 전문건설업체의 안전기술향상이 요구되고 있는데, 전문건설업체의 안전시공 향상 방안에 대하여 설명하시오.</t>
        </is>
      </c>
    </row>
    <row r="1235" customFormat="1" s="1">
      <c r="A1235" s="6" t="n">
        <v>802</v>
      </c>
      <c r="B1235" s="145" t="n">
        <v>96</v>
      </c>
      <c r="C1235" s="146" t="n">
        <v>4</v>
      </c>
      <c r="D1235" s="7" t="n">
        <v>3</v>
      </c>
      <c r="E1235" s="6" t="inlineStr">
        <is>
          <t>교량</t>
        </is>
      </c>
      <c r="F1235" s="8" t="inlineStr">
        <is>
          <t>강교가설공법</t>
        </is>
      </c>
      <c r="G1235" s="24" t="inlineStr">
        <is>
          <t>교량공사 강교 가설공법에서 가설장비에 따른 분류 방법을 설명하시오.</t>
        </is>
      </c>
    </row>
    <row r="1236" customFormat="1" s="1">
      <c r="A1236" s="6" t="n">
        <v>803</v>
      </c>
      <c r="B1236" s="145" t="n">
        <v>96</v>
      </c>
      <c r="C1236" s="146" t="n">
        <v>4</v>
      </c>
      <c r="D1236" s="7" t="n">
        <v>4</v>
      </c>
      <c r="E1236" s="6" t="inlineStr">
        <is>
          <t>기초</t>
        </is>
      </c>
      <c r="F1236" s="8" t="inlineStr">
        <is>
          <t>히빙_보일링</t>
        </is>
      </c>
      <c r="G1236" s="24" t="inlineStr">
        <is>
          <t>최근 도심지 지하굴착공사 과정에 흙막이 붕괴로 인한 재해가 자주 발생하고 있다. 지하 흙막이 붕괴의 원인이 되는 Heaving현상과 Boiling현상을 비교하여 설명하시오.</t>
        </is>
      </c>
    </row>
    <row r="1237" customFormat="1" s="1">
      <c r="A1237" s="6" t="n">
        <v>804</v>
      </c>
      <c r="B1237" s="145" t="n">
        <v>96</v>
      </c>
      <c r="C1237" s="146" t="n">
        <v>4</v>
      </c>
      <c r="D1237" s="7" t="n">
        <v>5</v>
      </c>
      <c r="E1237" s="6" t="inlineStr">
        <is>
          <t>터널</t>
        </is>
      </c>
      <c r="F1237" s="8" t="inlineStr">
        <is>
          <t>터널방수_배수형식</t>
        </is>
      </c>
      <c r="G1237" s="24" t="inlineStr">
        <is>
          <t>터널 내 지하수 처리 방법인 배수형 방수형식과 비배수형 배수형식의 적용범위,특징 및 시공 중 조치사항을 설명하시오.</t>
        </is>
      </c>
    </row>
    <row r="1238" customFormat="1" s="1">
      <c r="A1238" s="6" t="n">
        <v>805</v>
      </c>
      <c r="B1238" s="145" t="n">
        <v>96</v>
      </c>
      <c r="C1238" s="146" t="n">
        <v>4</v>
      </c>
      <c r="D1238" s="7" t="n">
        <v>6</v>
      </c>
      <c r="E1238" s="6" t="inlineStr">
        <is>
          <t>재해유형</t>
        </is>
      </c>
      <c r="F1238" s="8" t="inlineStr">
        <is>
          <t>질식재해</t>
        </is>
      </c>
      <c r="G1238" s="24" t="inlineStr">
        <is>
          <t>건설현장에서 질식재해의 발생원인과 안전대책을 설명하시오.</t>
        </is>
      </c>
    </row>
    <row r="1239" customFormat="1" s="1">
      <c r="A1239" s="6" t="n">
        <v>745</v>
      </c>
      <c r="B1239" s="145" t="n">
        <v>95</v>
      </c>
      <c r="C1239" s="146" t="n">
        <v>1</v>
      </c>
      <c r="D1239" s="7" t="n">
        <v>1</v>
      </c>
      <c r="E1239" s="6" t="inlineStr">
        <is>
          <t>시설물안전법</t>
        </is>
      </c>
      <c r="F1239" s="8" t="inlineStr">
        <is>
          <t>중대한결함</t>
        </is>
      </c>
      <c r="G1239" s="24" t="inlineStr">
        <is>
          <t>시설물의 중대한 결함</t>
        </is>
      </c>
    </row>
    <row r="1240" customFormat="1" s="1">
      <c r="A1240" s="6" t="n">
        <v>746</v>
      </c>
      <c r="B1240" s="145" t="n">
        <v>95</v>
      </c>
      <c r="C1240" s="146" t="n">
        <v>1</v>
      </c>
      <c r="D1240" s="7" t="n">
        <v>2</v>
      </c>
      <c r="E1240" s="6" t="inlineStr">
        <is>
          <t>안전관리론</t>
        </is>
      </c>
      <c r="F1240" s="8" t="inlineStr">
        <is>
          <t>에너지대사율</t>
        </is>
      </c>
      <c r="G1240" s="24" t="inlineStr">
        <is>
          <t>에너지 대사율</t>
        </is>
      </c>
    </row>
    <row r="1241" customFormat="1" s="1">
      <c r="A1241" s="6" t="n">
        <v>747</v>
      </c>
      <c r="B1241" s="145" t="n">
        <v>95</v>
      </c>
      <c r="C1241" s="146" t="n">
        <v>1</v>
      </c>
      <c r="D1241" s="7" t="n">
        <v>3</v>
      </c>
      <c r="E1241" s="6" t="inlineStr">
        <is>
          <t>산안법</t>
        </is>
      </c>
      <c r="F1241" s="8" t="inlineStr">
        <is>
          <t>공정안전보고서</t>
        </is>
      </c>
      <c r="G1241" s="24" t="inlineStr">
        <is>
          <t>공정안전보고서</t>
        </is>
      </c>
    </row>
    <row r="1242" customFormat="1" s="1">
      <c r="A1242" s="6" t="n">
        <v>748</v>
      </c>
      <c r="B1242" s="145" t="n">
        <v>95</v>
      </c>
      <c r="C1242" s="146" t="n">
        <v>1</v>
      </c>
      <c r="D1242" s="7" t="n">
        <v>4</v>
      </c>
      <c r="E1242" s="6" t="inlineStr">
        <is>
          <t>토공</t>
        </is>
      </c>
      <c r="F1242" s="8" t="inlineStr">
        <is>
          <t>액상화</t>
        </is>
      </c>
      <c r="G1242" s="24" t="inlineStr">
        <is>
          <t>액상화</t>
        </is>
      </c>
    </row>
    <row r="1243" customFormat="1" s="1">
      <c r="A1243" s="6" t="n">
        <v>749</v>
      </c>
      <c r="B1243" s="145" t="n">
        <v>95</v>
      </c>
      <c r="C1243" s="146" t="n">
        <v>1</v>
      </c>
      <c r="D1243" s="7" t="n">
        <v>5</v>
      </c>
      <c r="E1243" s="6" t="inlineStr">
        <is>
          <t>토공</t>
        </is>
      </c>
      <c r="F1243" s="8" t="inlineStr">
        <is>
          <t>산사태_사면붕괴</t>
        </is>
      </c>
      <c r="G1243" s="24" t="inlineStr">
        <is>
          <t>land creep 와 land slide</t>
        </is>
      </c>
    </row>
    <row r="1244" customFormat="1" s="1">
      <c r="A1244" s="6" t="n">
        <v>750</v>
      </c>
      <c r="B1244" s="145" t="n">
        <v>95</v>
      </c>
      <c r="C1244" s="146" t="n">
        <v>1</v>
      </c>
      <c r="D1244" s="7" t="n">
        <v>6</v>
      </c>
      <c r="E1244" s="6" t="inlineStr">
        <is>
          <t>콘크리트</t>
        </is>
      </c>
      <c r="F1244" s="8" t="inlineStr">
        <is>
          <t>허용균열_종방향균열</t>
        </is>
      </c>
      <c r="G1244" s="24" t="inlineStr">
        <is>
          <t>콘크리트 구조물의 허용균열과 종방향균열</t>
        </is>
      </c>
    </row>
    <row r="1245" customFormat="1" s="1">
      <c r="A1245" s="6" t="n">
        <v>751</v>
      </c>
      <c r="B1245" s="145" t="n">
        <v>95</v>
      </c>
      <c r="C1245" s="146" t="n">
        <v>1</v>
      </c>
      <c r="D1245" s="7" t="n">
        <v>7</v>
      </c>
      <c r="E1245" s="6" t="inlineStr">
        <is>
          <t>토공</t>
        </is>
      </c>
      <c r="F1245" s="8" t="inlineStr">
        <is>
          <t>설계강우강도</t>
        </is>
      </c>
      <c r="G1245" s="24" t="inlineStr">
        <is>
          <t>설계강우강도</t>
        </is>
      </c>
    </row>
    <row r="1246" customFormat="1" s="1">
      <c r="A1246" s="6" t="n">
        <v>752</v>
      </c>
      <c r="B1246" s="145" t="n">
        <v>95</v>
      </c>
      <c r="C1246" s="146" t="n">
        <v>1</v>
      </c>
      <c r="D1246" s="7" t="n">
        <v>8</v>
      </c>
      <c r="E1246" s="6" t="inlineStr">
        <is>
          <t>안전관리론</t>
        </is>
      </c>
      <c r="F1246" s="8" t="inlineStr">
        <is>
          <t>휴먼에러_심리적착오</t>
        </is>
      </c>
      <c r="G1246" s="24" t="inlineStr">
        <is>
          <t>휴먼에러에서 심리적 착오의 5분류</t>
        </is>
      </c>
    </row>
    <row r="1247" customFormat="1" s="1">
      <c r="A1247" s="6" t="n">
        <v>753</v>
      </c>
      <c r="B1247" s="145" t="n">
        <v>95</v>
      </c>
      <c r="C1247" s="146" t="n">
        <v>1</v>
      </c>
      <c r="D1247" s="7" t="n">
        <v>9</v>
      </c>
      <c r="E1247" s="6" t="inlineStr">
        <is>
          <t>콘크리트</t>
        </is>
      </c>
      <c r="F1247" s="8" t="inlineStr">
        <is>
          <t>고성능감수제_유동화제</t>
        </is>
      </c>
      <c r="G1247" s="24" t="inlineStr">
        <is>
          <t>고성능 감수제와 유동화제</t>
        </is>
      </c>
    </row>
    <row r="1248" customFormat="1" s="1">
      <c r="A1248" s="6" t="n">
        <v>754</v>
      </c>
      <c r="B1248" s="145" t="n">
        <v>95</v>
      </c>
      <c r="C1248" s="146" t="n">
        <v>1</v>
      </c>
      <c r="D1248" s="7" t="n">
        <v>10</v>
      </c>
      <c r="E1248" s="6" t="inlineStr">
        <is>
          <t>가설공사</t>
        </is>
      </c>
      <c r="F1248" s="8" t="inlineStr">
        <is>
          <t>거푸집동바리_검사항목</t>
        </is>
      </c>
      <c r="G1248" s="24" t="inlineStr">
        <is>
          <t>거푸집 및 동바리의 검사항목</t>
        </is>
      </c>
    </row>
    <row r="1249" customFormat="1" s="1">
      <c r="A1249" s="6" t="n">
        <v>755</v>
      </c>
      <c r="B1249" s="145" t="n">
        <v>95</v>
      </c>
      <c r="C1249" s="146" t="n">
        <v>1</v>
      </c>
      <c r="D1249" s="7" t="n">
        <v>11</v>
      </c>
      <c r="E1249" s="6" t="inlineStr">
        <is>
          <t>안전관리론</t>
        </is>
      </c>
      <c r="F1249" s="8" t="inlineStr">
        <is>
          <t>반응시간_동작시간</t>
        </is>
      </c>
      <c r="G1249" s="24" t="inlineStr">
        <is>
          <t>반응시간과 동작시간</t>
        </is>
      </c>
    </row>
    <row r="1250" customFormat="1" s="1">
      <c r="A1250" s="6" t="n">
        <v>756</v>
      </c>
      <c r="B1250" s="145" t="n">
        <v>95</v>
      </c>
      <c r="C1250" s="146" t="n">
        <v>1</v>
      </c>
      <c r="D1250" s="7" t="n">
        <v>12</v>
      </c>
      <c r="E1250" s="6" t="inlineStr">
        <is>
          <t>건설기계</t>
        </is>
      </c>
      <c r="F1250" s="8" t="inlineStr">
        <is>
          <t>오버홀</t>
        </is>
      </c>
      <c r="G1250" s="24" t="inlineStr">
        <is>
          <t>오버홀(overhaul)</t>
        </is>
      </c>
    </row>
    <row r="1251" customFormat="1" s="1">
      <c r="A1251" s="6" t="n">
        <v>757</v>
      </c>
      <c r="B1251" s="145" t="n">
        <v>95</v>
      </c>
      <c r="C1251" s="146" t="n">
        <v>1</v>
      </c>
      <c r="D1251" s="7" t="n">
        <v>13</v>
      </c>
      <c r="E1251" s="6" t="inlineStr">
        <is>
          <t>산안법</t>
        </is>
      </c>
      <c r="F1251" s="8" t="inlineStr">
        <is>
          <t>종합재해지수_안전활동율</t>
        </is>
      </c>
      <c r="G1251" s="24" t="inlineStr">
        <is>
          <t>종합재해지수와 안전활동율</t>
        </is>
      </c>
    </row>
    <row r="1252" customFormat="1" s="1">
      <c r="A1252" s="6" t="n">
        <v>758</v>
      </c>
      <c r="B1252" s="145" t="n">
        <v>95</v>
      </c>
      <c r="C1252" s="146" t="n">
        <v>2</v>
      </c>
      <c r="D1252" s="7" t="n">
        <v>1</v>
      </c>
      <c r="E1252" s="6" t="inlineStr">
        <is>
          <t>산안법</t>
        </is>
      </c>
      <c r="F1252" s="8" t="inlineStr">
        <is>
          <t>산업안전보건관리비</t>
        </is>
      </c>
      <c r="G1252" s="24" t="inlineStr">
        <is>
          <t>산업안전보건관리비의 사용항목과 목적 외 사용금지 항목에 대하여 설명하시오</t>
        </is>
      </c>
    </row>
    <row r="1253" customFormat="1" s="1">
      <c r="A1253" s="6" t="n">
        <v>759</v>
      </c>
      <c r="B1253" s="145" t="n">
        <v>95</v>
      </c>
      <c r="C1253" s="146" t="n">
        <v>2</v>
      </c>
      <c r="D1253" s="7" t="n">
        <v>2</v>
      </c>
      <c r="E1253" s="6" t="inlineStr">
        <is>
          <t>콘크리트</t>
        </is>
      </c>
      <c r="F1253" s="8" t="inlineStr">
        <is>
          <t>내하력조사_내구성평가</t>
        </is>
      </c>
      <c r="G1253" s="24" t="inlineStr">
        <is>
          <t>철근콘크리트 구조물의 내하력 조사 내용을 열거하고, 내구성 평가방법과 평가시 고려해야 할 사항에 대하여 설명하시오</t>
        </is>
      </c>
    </row>
    <row r="1254" customFormat="1" s="1">
      <c r="A1254" s="6" t="n">
        <v>760</v>
      </c>
      <c r="B1254" s="145" t="n">
        <v>95</v>
      </c>
      <c r="C1254" s="146" t="n">
        <v>2</v>
      </c>
      <c r="D1254" s="7" t="n">
        <v>3</v>
      </c>
      <c r="E1254" s="6" t="inlineStr">
        <is>
          <t>안전관리론</t>
        </is>
      </c>
      <c r="F1254" s="8" t="inlineStr">
        <is>
          <t>재해원인분석</t>
        </is>
      </c>
      <c r="G1254" s="24" t="inlineStr">
        <is>
          <t>재해원인 분석 방법을 열거하고 통계적 원인분석 방법에 대하여 설명하시오</t>
        </is>
      </c>
    </row>
    <row r="1255" customFormat="1" s="1">
      <c r="A1255" s="6" t="n">
        <v>761</v>
      </c>
      <c r="B1255" s="145" t="n">
        <v>95</v>
      </c>
      <c r="C1255" s="146" t="n">
        <v>2</v>
      </c>
      <c r="D1255" s="7" t="n">
        <v>4</v>
      </c>
      <c r="E1255" s="6" t="inlineStr">
        <is>
          <t>강재</t>
        </is>
      </c>
      <c r="F1255" s="8" t="inlineStr">
        <is>
          <t>고온저온균열</t>
        </is>
      </c>
      <c r="G1255" s="24" t="inlineStr">
        <is>
          <t>강재의 용접시 용접부에 발생하는 균열 중 고온균열과 저온균열에 대하여 설명하시오</t>
        </is>
      </c>
    </row>
    <row r="1256" customFormat="1" s="1">
      <c r="A1256" s="6" t="n">
        <v>762</v>
      </c>
      <c r="B1256" s="145" t="n">
        <v>95</v>
      </c>
      <c r="C1256" s="146" t="n">
        <v>2</v>
      </c>
      <c r="D1256" s="7" t="n">
        <v>5</v>
      </c>
      <c r="E1256" s="6" t="inlineStr">
        <is>
          <t>시설물안전법</t>
        </is>
      </c>
      <c r="F1256" s="8" t="inlineStr">
        <is>
          <t>공사중단재개_안전대책</t>
        </is>
      </c>
      <c r="G1256" s="24" t="inlineStr">
        <is>
          <t>장기간 공사가 중단된 시설물(1, 2종 시설물)의 공사재개시 안전대책에 대하여 설명하시오</t>
        </is>
      </c>
    </row>
    <row r="1257" customFormat="1" s="1">
      <c r="A1257" s="6" t="n">
        <v>763</v>
      </c>
      <c r="B1257" s="145" t="n">
        <v>95</v>
      </c>
      <c r="C1257" s="146" t="n">
        <v>2</v>
      </c>
      <c r="D1257" s="7" t="n">
        <v>6</v>
      </c>
      <c r="E1257" s="6" t="inlineStr">
        <is>
          <t>기초</t>
        </is>
      </c>
      <c r="F1257" s="8" t="inlineStr">
        <is>
          <t>대심도굴착_strut붕괴</t>
        </is>
      </c>
      <c r="G1257" s="24" t="inlineStr">
        <is>
          <t>지하수위가 높은 대심도 지하 굴착 공사시 주변으로부터 다량의 유수가 유입되면서 철골 strut가 붕괴하는 사고가 발생하였다. 긴급조치 사항과 발생 원인별 대책 및 사후관리 방안에 대하여 설명하시오</t>
        </is>
      </c>
    </row>
    <row r="1258" customFormat="1" s="1">
      <c r="A1258" s="6" t="n">
        <v>764</v>
      </c>
      <c r="B1258" s="145" t="n">
        <v>95</v>
      </c>
      <c r="C1258" s="146" t="n">
        <v>3</v>
      </c>
      <c r="D1258" s="7" t="n">
        <v>1</v>
      </c>
      <c r="E1258" s="6" t="inlineStr">
        <is>
          <t>시설물안전법</t>
        </is>
      </c>
      <c r="F1258" s="8" t="inlineStr">
        <is>
          <t>터널시설물_안전점검</t>
        </is>
      </c>
      <c r="G1258" s="24" t="inlineStr">
        <is>
          <t>“시설물의 안전관리에 관한 특별법”의 규정에 따른 터널시설물의 안전점검 및 정밀안전진단 실시 범위에 대해 세부적인 대상 시설물별로 설명하고 터널시설물에서 대통령령이 정하는 중대한 결함의적용 범위에 대하뎌 설명하시오</t>
        </is>
      </c>
    </row>
    <row r="1259" customFormat="1" s="1">
      <c r="A1259" s="6" t="n">
        <v>765</v>
      </c>
      <c r="B1259" s="145" t="n">
        <v>95</v>
      </c>
      <c r="C1259" s="146" t="n">
        <v>3</v>
      </c>
      <c r="D1259" s="7" t="n">
        <v>2</v>
      </c>
      <c r="E1259" s="6" t="inlineStr">
        <is>
          <t>건축</t>
        </is>
      </c>
      <c r="F1259" s="8" t="inlineStr">
        <is>
          <t>초고층공사_소프트하드웨어</t>
        </is>
      </c>
      <c r="G1259" s="24" t="inlineStr">
        <is>
          <t>초고층 공사에서 안전한 시공을 위한 대책을 soft ware적인 측면과 hard ware적인 측면에서 구분하여 설명하시오</t>
        </is>
      </c>
    </row>
    <row r="1260" customFormat="1" s="1">
      <c r="A1260" s="6" t="n">
        <v>766</v>
      </c>
      <c r="B1260" s="145" t="n">
        <v>95</v>
      </c>
      <c r="C1260" s="146" t="n">
        <v>3</v>
      </c>
      <c r="D1260" s="7" t="n">
        <v>3</v>
      </c>
      <c r="E1260" s="6" t="inlineStr">
        <is>
          <t>안전관리론</t>
        </is>
      </c>
      <c r="F1260" s="8" t="inlineStr">
        <is>
          <t>작업자피로_예방</t>
        </is>
      </c>
      <c r="G1260" s="24" t="inlineStr">
        <is>
          <t>건설현장에서 작업자의 피로 발생원인과 예방대책에 대하여 설명하시오</t>
        </is>
      </c>
    </row>
    <row r="1261" customFormat="1" s="1">
      <c r="A1261" s="6" t="n">
        <v>767</v>
      </c>
      <c r="B1261" s="145" t="n">
        <v>95</v>
      </c>
      <c r="C1261" s="146" t="n">
        <v>3</v>
      </c>
      <c r="D1261" s="7" t="n">
        <v>4</v>
      </c>
      <c r="E1261" s="6" t="inlineStr">
        <is>
          <t>계절재해</t>
        </is>
      </c>
      <c r="F1261" s="8" t="inlineStr">
        <is>
          <t>혹서기_산소결핍</t>
        </is>
      </c>
      <c r="G1261" s="24" t="inlineStr">
        <is>
          <t>혹서기 산소 결핍이 예상되는 작업의 종류를 열거하고 안전대책을 설명하시오</t>
        </is>
      </c>
    </row>
    <row r="1262" customFormat="1" s="1">
      <c r="A1262" s="6" t="n">
        <v>768</v>
      </c>
      <c r="B1262" s="145" t="n">
        <v>95</v>
      </c>
      <c r="C1262" s="146" t="n">
        <v>3</v>
      </c>
      <c r="D1262" s="7" t="n">
        <v>5</v>
      </c>
      <c r="E1262" s="6" t="inlineStr">
        <is>
          <t>기타</t>
        </is>
      </c>
      <c r="F1262" s="8" t="inlineStr">
        <is>
          <t>생태통로</t>
        </is>
      </c>
      <c r="G1262" s="24" t="inlineStr">
        <is>
          <t>생태통로의 설치 목적 및 종류와 관리 및 모니터링 방안에 대하여 설명하시오</t>
        </is>
      </c>
    </row>
    <row r="1263" customFormat="1" s="1">
      <c r="A1263" s="6" t="n">
        <v>769</v>
      </c>
      <c r="B1263" s="145" t="n">
        <v>95</v>
      </c>
      <c r="C1263" s="146" t="n">
        <v>3</v>
      </c>
      <c r="D1263" s="7" t="n">
        <v>6</v>
      </c>
      <c r="E1263" s="6" t="inlineStr">
        <is>
          <t>기초</t>
        </is>
      </c>
      <c r="F1263" s="8" t="inlineStr">
        <is>
          <t>PC파일_시험항타</t>
        </is>
      </c>
      <c r="G1263" s="24" t="inlineStr">
        <is>
          <t>대심도 연약지반에서 PC파일 공사시 시험항타의 목적과 관리 항목을 열거하고 예상되는 문제점과 대책에 대하여 설명하시오</t>
        </is>
      </c>
    </row>
    <row r="1264" customFormat="1" s="1">
      <c r="A1264" s="6" t="n">
        <v>770</v>
      </c>
      <c r="B1264" s="145" t="n">
        <v>95</v>
      </c>
      <c r="C1264" s="146" t="n">
        <v>4</v>
      </c>
      <c r="D1264" s="7" t="n">
        <v>1</v>
      </c>
      <c r="E1264" s="6" t="inlineStr">
        <is>
          <t>가설공사</t>
        </is>
      </c>
      <c r="F1264" s="8" t="inlineStr">
        <is>
          <t>가설구조물_풍하중</t>
        </is>
      </c>
      <c r="G1264" s="24" t="inlineStr">
        <is>
          <t>풍하중이 가설구조물에 미치는 영향과 재해혜방 대책에 대하여 설명하시오</t>
        </is>
      </c>
    </row>
    <row r="1265" customFormat="1" s="1">
      <c r="A1265" s="6" t="n">
        <v>771</v>
      </c>
      <c r="B1265" s="145" t="n">
        <v>95</v>
      </c>
      <c r="C1265" s="146" t="n">
        <v>4</v>
      </c>
      <c r="D1265" s="7" t="n">
        <v>2</v>
      </c>
      <c r="E1265" s="6" t="inlineStr">
        <is>
          <t>산안법</t>
        </is>
      </c>
      <c r="F1265" s="8" t="inlineStr">
        <is>
          <t>유해위험방지계획서_자체심사</t>
        </is>
      </c>
      <c r="G1265" s="24" t="inlineStr">
        <is>
          <t>유해위험방지계획서 자체심사 및 확인 업체 지정에 대한 관련 규정 및 기중에 대하여 설명하시오</t>
        </is>
      </c>
    </row>
    <row r="1266" customFormat="1" s="1">
      <c r="A1266" s="6" t="n">
        <v>772</v>
      </c>
      <c r="B1266" s="145" t="n">
        <v>95</v>
      </c>
      <c r="C1266" s="146" t="n">
        <v>4</v>
      </c>
      <c r="D1266" s="7" t="n">
        <v>3</v>
      </c>
      <c r="E1266" s="6" t="inlineStr">
        <is>
          <t>콘크리트</t>
        </is>
      </c>
      <c r="F1266" s="8" t="inlineStr">
        <is>
          <t>화재피해_건전성평가</t>
        </is>
      </c>
      <c r="G1266" s="24" t="inlineStr">
        <is>
          <t>콘크리트 구조물의 화재 피해에 따른 콘크리트의 재료 특성과 피해 구조물의 건전성 평가 방법에 대하여 설명하시오</t>
        </is>
      </c>
    </row>
    <row r="1267" customFormat="1" s="1">
      <c r="A1267" s="6" t="n">
        <v>773</v>
      </c>
      <c r="B1267" s="145" t="n">
        <v>95</v>
      </c>
      <c r="C1267" s="146" t="n">
        <v>4</v>
      </c>
      <c r="D1267" s="7" t="n">
        <v>4</v>
      </c>
      <c r="E1267" s="6" t="inlineStr">
        <is>
          <t>시사 이슈 문제</t>
        </is>
      </c>
      <c r="F1267" s="8" t="inlineStr">
        <is>
          <t>건설자동화</t>
        </is>
      </c>
      <c r="G1267" s="24" t="inlineStr">
        <is>
          <t>건설현장에서 자동화공법 도입의 필요성과 목적을 열거하고 도입시 예상되는 문제점과 안전대책에 대하여 설명하시오</t>
        </is>
      </c>
    </row>
    <row r="1268" customFormat="1" s="1">
      <c r="A1268" s="6" t="n">
        <v>774</v>
      </c>
      <c r="B1268" s="145" t="n">
        <v>95</v>
      </c>
      <c r="C1268" s="146" t="n">
        <v>4</v>
      </c>
      <c r="D1268" s="7" t="n">
        <v>5</v>
      </c>
      <c r="E1268" s="6" t="inlineStr">
        <is>
          <t>터널</t>
        </is>
      </c>
      <c r="F1268" s="8" t="inlineStr">
        <is>
          <t>도로터널_방재시설</t>
        </is>
      </c>
      <c r="G1268" s="24" t="inlineStr">
        <is>
          <t>도로 터널에서 구비되어야 할 방재시설에 대해서 설명하시오</t>
        </is>
      </c>
    </row>
    <row r="1269" customFormat="1" s="1">
      <c r="A1269" s="6" t="n">
        <v>775</v>
      </c>
      <c r="B1269" s="145" t="n">
        <v>95</v>
      </c>
      <c r="C1269" s="146" t="n">
        <v>4</v>
      </c>
      <c r="D1269" s="7" t="n">
        <v>6</v>
      </c>
      <c r="E1269" s="6" t="inlineStr">
        <is>
          <t>토공</t>
        </is>
      </c>
      <c r="F1269" s="8" t="inlineStr">
        <is>
          <t>절성토_안전점검시설</t>
        </is>
      </c>
      <c r="G1269" s="24" t="inlineStr">
        <is>
          <t>대사면 절성토 공사에서 설치하는 안전점검 시설의 종류를 열거하고 설치시 안전관리 대책에 대하여 설명하시오</t>
        </is>
      </c>
    </row>
    <row r="1270" customFormat="1" s="1">
      <c r="A1270" s="6" t="n">
        <v>714</v>
      </c>
      <c r="B1270" s="145" t="n">
        <v>93</v>
      </c>
      <c r="C1270" s="146" t="n">
        <v>1</v>
      </c>
      <c r="D1270" s="7" t="n">
        <v>1</v>
      </c>
      <c r="E1270" s="6" t="inlineStr">
        <is>
          <t>안전관리론</t>
        </is>
      </c>
      <c r="F1270" s="8" t="inlineStr">
        <is>
          <t>진동장해</t>
        </is>
      </c>
      <c r="G1270" s="24" t="inlineStr">
        <is>
          <t>진동장해</t>
        </is>
      </c>
    </row>
    <row r="1271" customFormat="1" s="1">
      <c r="A1271" s="6" t="n">
        <v>715</v>
      </c>
      <c r="B1271" s="145" t="n">
        <v>93</v>
      </c>
      <c r="C1271" s="146" t="n">
        <v>1</v>
      </c>
      <c r="D1271" s="7" t="n">
        <v>2</v>
      </c>
      <c r="E1271" s="6" t="inlineStr">
        <is>
          <t>안전관리론</t>
        </is>
      </c>
      <c r="F1271" s="8" t="inlineStr">
        <is>
          <t>안전업무분류</t>
        </is>
      </c>
      <c r="G1271" s="24" t="inlineStr">
        <is>
          <t>안전업무의 분류</t>
        </is>
      </c>
    </row>
    <row r="1272" customFormat="1" s="1">
      <c r="A1272" s="6" t="n">
        <v>716</v>
      </c>
      <c r="B1272" s="145" t="n">
        <v>93</v>
      </c>
      <c r="C1272" s="146" t="n">
        <v>1</v>
      </c>
      <c r="D1272" s="7" t="n">
        <v>3</v>
      </c>
      <c r="E1272" s="6" t="inlineStr">
        <is>
          <t>안전관리론</t>
        </is>
      </c>
      <c r="F1272" s="8" t="inlineStr">
        <is>
          <t>정보처리_의식수준</t>
        </is>
      </c>
      <c r="G1272" s="24" t="inlineStr">
        <is>
          <t>정보처리 채널과 의식 수준 5단계와의 관계</t>
        </is>
      </c>
    </row>
    <row r="1273" customFormat="1" s="1">
      <c r="A1273" s="6" t="n">
        <v>717</v>
      </c>
      <c r="B1273" s="145" t="n">
        <v>93</v>
      </c>
      <c r="C1273" s="146" t="n">
        <v>1</v>
      </c>
      <c r="D1273" s="7" t="n">
        <v>4</v>
      </c>
      <c r="E1273" s="6" t="inlineStr">
        <is>
          <t>안전관리론</t>
        </is>
      </c>
      <c r="F1273" s="8" t="inlineStr">
        <is>
          <t>동작경제원칙</t>
        </is>
      </c>
      <c r="G1273" s="24" t="inlineStr">
        <is>
          <t>동작 경제의 3원칙</t>
        </is>
      </c>
    </row>
    <row r="1274" customFormat="1" s="1">
      <c r="A1274" s="6" t="n">
        <v>718</v>
      </c>
      <c r="B1274" s="145" t="n">
        <v>93</v>
      </c>
      <c r="C1274" s="146" t="n">
        <v>1</v>
      </c>
      <c r="D1274" s="7" t="n">
        <v>5</v>
      </c>
      <c r="E1274" s="6" t="inlineStr">
        <is>
          <t>콘크리트</t>
        </is>
      </c>
      <c r="F1274" s="8" t="inlineStr">
        <is>
          <t>철근이음정착</t>
        </is>
      </c>
      <c r="G1274" s="24" t="inlineStr">
        <is>
          <t>철근의 이음과 정착</t>
        </is>
      </c>
    </row>
    <row r="1275" customFormat="1" s="1">
      <c r="A1275" s="6" t="n">
        <v>719</v>
      </c>
      <c r="B1275" s="145" t="n">
        <v>93</v>
      </c>
      <c r="C1275" s="146" t="n">
        <v>1</v>
      </c>
      <c r="D1275" s="7" t="n">
        <v>6</v>
      </c>
      <c r="E1275" s="6" t="inlineStr">
        <is>
          <t>기초</t>
        </is>
      </c>
      <c r="F1275" s="8" t="inlineStr">
        <is>
          <t>슬라임처리</t>
        </is>
      </c>
      <c r="G1275" s="24" t="inlineStr">
        <is>
          <t>슬라임의 필요성과 처리방법</t>
        </is>
      </c>
    </row>
    <row r="1276" customFormat="1" s="1">
      <c r="A1276" s="6" t="n">
        <v>720</v>
      </c>
      <c r="B1276" s="145" t="n">
        <v>93</v>
      </c>
      <c r="C1276" s="146" t="n">
        <v>1</v>
      </c>
      <c r="D1276" s="7" t="n">
        <v>7</v>
      </c>
      <c r="E1276" s="6" t="inlineStr">
        <is>
          <t>콘크리트</t>
        </is>
      </c>
      <c r="F1276" s="8" t="inlineStr">
        <is>
          <t>레미콘반입검사</t>
        </is>
      </c>
      <c r="G1276" s="24" t="inlineStr">
        <is>
          <t>레미콘 반입시 검사항목</t>
        </is>
      </c>
    </row>
    <row r="1277" customFormat="1" s="1">
      <c r="A1277" s="6" t="n">
        <v>721</v>
      </c>
      <c r="B1277" s="145" t="n">
        <v>93</v>
      </c>
      <c r="C1277" s="146" t="n">
        <v>1</v>
      </c>
      <c r="D1277" s="7" t="n">
        <v>8</v>
      </c>
      <c r="E1277" s="6" t="inlineStr">
        <is>
          <t>산안법</t>
        </is>
      </c>
      <c r="F1277" s="8" t="inlineStr">
        <is>
          <t>근로자건강진단</t>
        </is>
      </c>
      <c r="G1277" s="24" t="inlineStr">
        <is>
          <t>근로자의 건강진단</t>
        </is>
      </c>
    </row>
    <row r="1278" customFormat="1" s="1">
      <c r="A1278" s="6" t="n">
        <v>722</v>
      </c>
      <c r="B1278" s="145" t="n">
        <v>93</v>
      </c>
      <c r="C1278" s="146" t="n">
        <v>1</v>
      </c>
      <c r="D1278" s="7" t="n">
        <v>9</v>
      </c>
      <c r="E1278" s="6" t="inlineStr">
        <is>
          <t>터널</t>
        </is>
      </c>
      <c r="F1278" s="8" t="inlineStr">
        <is>
          <t>터널계측</t>
        </is>
      </c>
      <c r="G1278" s="24" t="inlineStr">
        <is>
          <t>터널에서의 계측</t>
        </is>
      </c>
    </row>
    <row r="1279" customFormat="1" s="1">
      <c r="A1279" s="6" t="n">
        <v>723</v>
      </c>
      <c r="B1279" s="145" t="n">
        <v>93</v>
      </c>
      <c r="C1279" s="146" t="n">
        <v>1</v>
      </c>
      <c r="D1279" s="7" t="n">
        <v>10</v>
      </c>
      <c r="E1279" s="6" t="inlineStr">
        <is>
          <t>계절재해</t>
        </is>
      </c>
      <c r="F1279" s="8" t="inlineStr">
        <is>
          <t>낙뢰방지대책</t>
        </is>
      </c>
      <c r="G1279" s="24" t="inlineStr">
        <is>
          <t>우기철 낙뢰 발생시 인명 사상 방지대책</t>
        </is>
      </c>
    </row>
    <row r="1280" customFormat="1" s="1">
      <c r="A1280" s="6" t="n">
        <v>724</v>
      </c>
      <c r="B1280" s="145" t="n">
        <v>93</v>
      </c>
      <c r="C1280" s="146" t="n">
        <v>1</v>
      </c>
      <c r="D1280" s="7" t="n">
        <v>11</v>
      </c>
      <c r="E1280" s="6" t="inlineStr">
        <is>
          <t>터널</t>
        </is>
      </c>
      <c r="F1280" s="8" t="inlineStr">
        <is>
          <t>숏크리트_Rebound</t>
        </is>
      </c>
      <c r="G1280" s="24" t="inlineStr">
        <is>
          <t>Shotcrete의 Rebound</t>
        </is>
      </c>
    </row>
    <row r="1281" customFormat="1" s="1">
      <c r="A1281" s="6" t="n">
        <v>725</v>
      </c>
      <c r="B1281" s="145" t="n">
        <v>93</v>
      </c>
      <c r="C1281" s="146" t="n">
        <v>1</v>
      </c>
      <c r="D1281" s="7" t="n">
        <v>12</v>
      </c>
      <c r="E1281" s="6" t="inlineStr">
        <is>
          <t>가설공사</t>
        </is>
      </c>
      <c r="F1281" s="8" t="inlineStr">
        <is>
          <t>가설통로_경사로</t>
        </is>
      </c>
      <c r="G1281" s="24" t="inlineStr">
        <is>
          <t>가설통로의 종류 및 경사로</t>
        </is>
      </c>
    </row>
    <row r="1282" customFormat="1" s="1">
      <c r="A1282" s="6" t="n">
        <v>726</v>
      </c>
      <c r="B1282" s="145" t="n">
        <v>93</v>
      </c>
      <c r="C1282" s="146" t="n">
        <v>1</v>
      </c>
      <c r="D1282" s="7" t="n">
        <v>13</v>
      </c>
      <c r="E1282" s="6" t="inlineStr">
        <is>
          <t>강재</t>
        </is>
      </c>
      <c r="F1282" s="8" t="inlineStr">
        <is>
          <t>X선회절법</t>
        </is>
      </c>
      <c r="G1282" s="24" t="inlineStr">
        <is>
          <t>X -선 회절법</t>
        </is>
      </c>
    </row>
    <row r="1283" customFormat="1" s="1">
      <c r="A1283" s="6" t="n">
        <v>727</v>
      </c>
      <c r="B1283" s="145" t="n">
        <v>93</v>
      </c>
      <c r="C1283" s="146" t="n">
        <v>2</v>
      </c>
      <c r="D1283" s="7" t="n">
        <v>1</v>
      </c>
      <c r="E1283" s="6" t="inlineStr">
        <is>
          <t>안전관리론</t>
        </is>
      </c>
      <c r="F1283" s="8" t="inlineStr">
        <is>
          <t>사고자_무사고자특성</t>
        </is>
      </c>
      <c r="G1283" s="24" t="inlineStr">
        <is>
          <t>무사고자와 사고자의 특성</t>
        </is>
      </c>
    </row>
    <row r="1284" customFormat="1" s="1">
      <c r="A1284" s="6" t="n">
        <v>728</v>
      </c>
      <c r="B1284" s="145" t="n">
        <v>93</v>
      </c>
      <c r="C1284" s="146" t="n">
        <v>2</v>
      </c>
      <c r="D1284" s="7" t="n">
        <v>2</v>
      </c>
      <c r="E1284" s="6" t="inlineStr">
        <is>
          <t>안전관리론</t>
        </is>
      </c>
      <c r="F1284" s="8" t="inlineStr">
        <is>
          <t>재해손실비_예방5단계</t>
        </is>
      </c>
      <c r="G1284" s="24" t="inlineStr">
        <is>
          <t>재해손실비 평가방법과 재해예방 5단계를 설명하시오.</t>
        </is>
      </c>
    </row>
    <row r="1285" customFormat="1" s="1">
      <c r="A1285" s="6" t="n">
        <v>729</v>
      </c>
      <c r="B1285" s="145" t="n">
        <v>93</v>
      </c>
      <c r="C1285" s="146" t="n">
        <v>2</v>
      </c>
      <c r="D1285" s="7" t="n">
        <v>3</v>
      </c>
      <c r="E1285" s="6" t="inlineStr">
        <is>
          <t>안전관리론</t>
        </is>
      </c>
      <c r="F1285" s="8" t="inlineStr">
        <is>
          <t>착공전_인허가조치</t>
        </is>
      </c>
      <c r="G1285" s="24" t="inlineStr">
        <is>
          <t>건설현장에서 공사착공 전 현장소장으로서 관련기관 인허가에 대한 사전 조치사항에 대하여 설명하시오.</t>
        </is>
      </c>
    </row>
    <row r="1286" customFormat="1" s="1">
      <c r="A1286" s="6" t="n">
        <v>730</v>
      </c>
      <c r="B1286" s="145" t="n">
        <v>93</v>
      </c>
      <c r="C1286" s="146" t="n">
        <v>2</v>
      </c>
      <c r="D1286" s="7" t="n">
        <v>4</v>
      </c>
      <c r="E1286" s="6" t="inlineStr">
        <is>
          <t>콘크리트</t>
        </is>
      </c>
      <c r="F1286" s="8" t="inlineStr">
        <is>
          <t>중성화조사_시험요령</t>
        </is>
      </c>
      <c r="G1286" s="24" t="inlineStr">
        <is>
          <t>콘크리트 구조물의 중성화 조사 부분과 중성화 시험 요령에 대하여 설명하시오.</t>
        </is>
      </c>
    </row>
    <row r="1287" customFormat="1" s="1">
      <c r="A1287" s="6" t="n">
        <v>731</v>
      </c>
      <c r="B1287" s="145" t="n">
        <v>93</v>
      </c>
      <c r="C1287" s="146" t="n">
        <v>2</v>
      </c>
      <c r="D1287" s="7" t="n">
        <v>5</v>
      </c>
      <c r="E1287" s="6" t="inlineStr">
        <is>
          <t>산안법</t>
        </is>
      </c>
      <c r="F1287" s="8" t="inlineStr">
        <is>
          <t>근골격계질환</t>
        </is>
      </c>
      <c r="G1287" s="24" t="inlineStr">
        <is>
          <t>건설현장 근로자의 근골격계 질환 발생원인과 예방대책에 대하여 설명하시오.</t>
        </is>
      </c>
    </row>
    <row r="1288" customFormat="1" s="1">
      <c r="A1288" s="6" t="n">
        <v>732</v>
      </c>
      <c r="B1288" s="145" t="n">
        <v>93</v>
      </c>
      <c r="C1288" s="146" t="n">
        <v>2</v>
      </c>
      <c r="D1288" s="7" t="n">
        <v>6</v>
      </c>
      <c r="E1288" s="6" t="inlineStr">
        <is>
          <t>기초</t>
        </is>
      </c>
      <c r="F1288" s="8" t="inlineStr">
        <is>
          <t>옹벽_안정붕괴</t>
        </is>
      </c>
      <c r="G1288" s="24" t="inlineStr">
        <is>
          <t>옹벽의 안정조건 및 붕괴원인과 대책을 설명하시오.</t>
        </is>
      </c>
    </row>
    <row r="1289" customFormat="1" s="1">
      <c r="A1289" s="6" t="n">
        <v>733</v>
      </c>
      <c r="B1289" s="145" t="n">
        <v>93</v>
      </c>
      <c r="C1289" s="146" t="n">
        <v>3</v>
      </c>
      <c r="D1289" s="7" t="n">
        <v>1</v>
      </c>
      <c r="E1289" s="6" t="inlineStr">
        <is>
          <t>안전관리론</t>
        </is>
      </c>
      <c r="F1289" s="8" t="inlineStr">
        <is>
          <t>무재해운동</t>
        </is>
      </c>
      <c r="G1289" s="24" t="inlineStr">
        <is>
          <t>무재해 운동의 3원칙, 3기둥, 실천 4단계 및 실천기법에 대하여 설명하시오.</t>
        </is>
      </c>
    </row>
    <row r="1290" customFormat="1" s="1">
      <c r="A1290" s="6" t="n">
        <v>734</v>
      </c>
      <c r="B1290" s="145" t="n">
        <v>93</v>
      </c>
      <c r="C1290" s="146" t="n">
        <v>3</v>
      </c>
      <c r="D1290" s="7" t="n">
        <v>2</v>
      </c>
      <c r="E1290" s="6" t="inlineStr">
        <is>
          <t>재해유형</t>
        </is>
      </c>
      <c r="F1290" s="8" t="inlineStr">
        <is>
          <t>자연인위재해_분류</t>
        </is>
      </c>
      <c r="G1290" s="24" t="inlineStr">
        <is>
          <t>재해의 종류를 자연적, 인위적 재해로 분류하고 예방대책을 설명하시오.</t>
        </is>
      </c>
    </row>
    <row r="1291" customFormat="1" s="1">
      <c r="A1291" s="6" t="n">
        <v>735</v>
      </c>
      <c r="B1291" s="145" t="n">
        <v>93</v>
      </c>
      <c r="C1291" s="146" t="n">
        <v>3</v>
      </c>
      <c r="D1291" s="7" t="n">
        <v>3</v>
      </c>
      <c r="E1291" s="6" t="inlineStr">
        <is>
          <t>기초</t>
        </is>
      </c>
      <c r="F1291" s="8" t="inlineStr">
        <is>
          <t>지하매설물_안전대책</t>
        </is>
      </c>
      <c r="G1291" s="24" t="inlineStr">
        <is>
          <t>지하매설물 시공시 안전대책을 설명하시오.</t>
        </is>
      </c>
    </row>
    <row r="1292" customFormat="1" s="1">
      <c r="A1292" s="6" t="n">
        <v>736</v>
      </c>
      <c r="B1292" s="145" t="n">
        <v>93</v>
      </c>
      <c r="C1292" s="146" t="n">
        <v>3</v>
      </c>
      <c r="D1292" s="7" t="n">
        <v>4</v>
      </c>
      <c r="E1292" s="6" t="inlineStr">
        <is>
          <t>제방 댐 항만</t>
        </is>
      </c>
      <c r="F1292" s="8" t="inlineStr">
        <is>
          <t>제방붕괴원인대책</t>
        </is>
      </c>
      <c r="G1292" s="24" t="inlineStr">
        <is>
          <t>하천 제방의 붕괴원인과 대책에 대하여 설명하시오.</t>
        </is>
      </c>
    </row>
    <row r="1293" customFormat="1" s="1">
      <c r="A1293" s="6" t="n">
        <v>737</v>
      </c>
      <c r="B1293" s="145" t="n">
        <v>93</v>
      </c>
      <c r="C1293" s="146" t="n">
        <v>3</v>
      </c>
      <c r="D1293" s="7" t="n">
        <v>5</v>
      </c>
      <c r="E1293" s="6" t="inlineStr">
        <is>
          <t>건진법</t>
        </is>
      </c>
      <c r="F1293" s="8" t="inlineStr">
        <is>
          <t>안전관리계획수립대상</t>
        </is>
      </c>
      <c r="G1293" s="24" t="inlineStr">
        <is>
          <t>건설기술관리법에 의한 안전관리계획을 수립하여야 하는 공사와 계획의 내용, 제출 및 판정 규정을 설명하시오.</t>
        </is>
      </c>
    </row>
    <row r="1294" customFormat="1" s="1">
      <c r="A1294" s="6" t="n">
        <v>738</v>
      </c>
      <c r="B1294" s="145" t="n">
        <v>93</v>
      </c>
      <c r="C1294" s="146" t="n">
        <v>3</v>
      </c>
      <c r="D1294" s="7" t="n">
        <v>6</v>
      </c>
      <c r="E1294" s="6" t="inlineStr">
        <is>
          <t>산안법</t>
        </is>
      </c>
      <c r="F1294" s="8" t="inlineStr">
        <is>
          <t>안전대폐기기준</t>
        </is>
      </c>
      <c r="G1294" s="24" t="inlineStr">
        <is>
          <t>추락방지용 안전대의 폐기기준 및 사용시 유의하여야 할 사항을 설명하시오.</t>
        </is>
      </c>
    </row>
    <row r="1295" customFormat="1" s="1">
      <c r="A1295" s="6" t="n">
        <v>739</v>
      </c>
      <c r="B1295" s="145" t="n">
        <v>93</v>
      </c>
      <c r="C1295" s="146" t="n">
        <v>4</v>
      </c>
      <c r="D1295" s="7" t="n">
        <v>1</v>
      </c>
      <c r="E1295" s="6" t="inlineStr">
        <is>
          <t>기타</t>
        </is>
      </c>
      <c r="F1295" s="8" t="inlineStr">
        <is>
          <t>폐기물매립장_환경오염방지</t>
        </is>
      </c>
      <c r="G1295" s="24" t="inlineStr">
        <is>
          <t>쓰레기 매립장의 환경오염 방지방안 및 폐기물 매립장 건설시공시 안전대책에 대하여 설명하시오.</t>
        </is>
      </c>
    </row>
    <row r="1296" customFormat="1" s="1">
      <c r="A1296" s="6" t="n">
        <v>740</v>
      </c>
      <c r="B1296" s="145" t="n">
        <v>93</v>
      </c>
      <c r="C1296" s="146" t="n">
        <v>4</v>
      </c>
      <c r="D1296" s="7" t="n">
        <v>2</v>
      </c>
      <c r="E1296" s="6" t="inlineStr">
        <is>
          <t>콘크리트</t>
        </is>
      </c>
      <c r="F1296" s="8" t="inlineStr">
        <is>
          <t>균열폭측정_진행성균열</t>
        </is>
      </c>
      <c r="G1296" s="24" t="inlineStr">
        <is>
          <t>콘크리트 구조물의 균열 조사시 균열폭의 변동을 측정하는 방법과 균열이 진행성인 경우 조사해야 할 사항에 대하여 설명하시오.</t>
        </is>
      </c>
    </row>
    <row r="1297" customFormat="1" s="1">
      <c r="A1297" s="6" t="n">
        <v>741</v>
      </c>
      <c r="B1297" s="145" t="n">
        <v>93</v>
      </c>
      <c r="C1297" s="146" t="n">
        <v>4</v>
      </c>
      <c r="D1297" s="7" t="n">
        <v>3</v>
      </c>
      <c r="E1297" s="6" t="inlineStr">
        <is>
          <t>토공</t>
        </is>
      </c>
      <c r="F1297" s="8" t="inlineStr">
        <is>
          <t>산사태_비탈면안전</t>
        </is>
      </c>
      <c r="G1297" s="24" t="inlineStr">
        <is>
          <t>산사태 발생 원인과 방지대책에 대해 설명하고, 비탈면에 대한 안전대책, 공학적 검토사항에 대하여 설명하시오.</t>
        </is>
      </c>
    </row>
    <row r="1298" customFormat="1" s="1">
      <c r="A1298" s="6" t="n">
        <v>742</v>
      </c>
      <c r="B1298" s="145" t="n">
        <v>93</v>
      </c>
      <c r="C1298" s="146" t="n">
        <v>4</v>
      </c>
      <c r="D1298" s="7" t="n">
        <v>4</v>
      </c>
      <c r="E1298" s="6" t="inlineStr">
        <is>
          <t>기초</t>
        </is>
      </c>
      <c r="F1298" s="8" t="inlineStr">
        <is>
          <t>지하굴착_재해방지</t>
        </is>
      </c>
      <c r="G1298" s="24" t="inlineStr">
        <is>
          <t>20m 이상 지하굴착 공사시 예상되는 재해의 종류와 사전방지대책에 대하여 설명하시오.</t>
        </is>
      </c>
    </row>
    <row r="1299" customFormat="1" s="1">
      <c r="A1299" s="6" t="n">
        <v>743</v>
      </c>
      <c r="B1299" s="145" t="n">
        <v>93</v>
      </c>
      <c r="C1299" s="146" t="n">
        <v>4</v>
      </c>
      <c r="D1299" s="7" t="n">
        <v>5</v>
      </c>
      <c r="E1299" s="6" t="inlineStr">
        <is>
          <t>해체공사</t>
        </is>
      </c>
      <c r="F1299" s="8" t="inlineStr">
        <is>
          <t>발파식해체</t>
        </is>
      </c>
      <c r="G1299" s="24" t="inlineStr">
        <is>
          <t>도심지 내에서 대형구조물을 해체하기 위하여 발파식 해체공법을 적용할 때 공해방지대책과 안전대책에 대하여 설명하시오.</t>
        </is>
      </c>
    </row>
    <row r="1300" customFormat="1" s="1">
      <c r="A1300" s="6" t="n">
        <v>744</v>
      </c>
      <c r="B1300" s="145" t="n">
        <v>93</v>
      </c>
      <c r="C1300" s="146" t="n">
        <v>4</v>
      </c>
      <c r="D1300" s="7" t="n">
        <v>6</v>
      </c>
      <c r="E1300" s="6" t="inlineStr">
        <is>
          <t>토공</t>
        </is>
      </c>
      <c r="F1300" s="8" t="inlineStr">
        <is>
          <t>측방유동_대책공법</t>
        </is>
      </c>
      <c r="G1300" s="24" t="inlineStr">
        <is>
          <t>연약지반의 측방유동의 특성 및 발생 원인에 따른 대책공법을 설명하시오</t>
        </is>
      </c>
    </row>
    <row r="1301" customFormat="1" s="1">
      <c r="A1301" s="6" t="n">
        <v>683</v>
      </c>
      <c r="B1301" s="145" t="n">
        <v>92</v>
      </c>
      <c r="C1301" s="146" t="n">
        <v>1</v>
      </c>
      <c r="D1301" s="7" t="n">
        <v>1</v>
      </c>
      <c r="E1301" s="6" t="inlineStr">
        <is>
          <t>산안법</t>
        </is>
      </c>
      <c r="F1301" s="8" t="inlineStr">
        <is>
          <t>안전인증제</t>
        </is>
      </c>
      <c r="G1301" s="24" t="inlineStr">
        <is>
          <t>안전인증제</t>
        </is>
      </c>
    </row>
    <row r="1302" customFormat="1" s="1">
      <c r="A1302" s="6" t="n">
        <v>684</v>
      </c>
      <c r="B1302" s="145" t="n">
        <v>92</v>
      </c>
      <c r="C1302" s="146" t="n">
        <v>1</v>
      </c>
      <c r="D1302" s="7" t="n">
        <v>2</v>
      </c>
      <c r="E1302" s="6" t="inlineStr">
        <is>
          <t>기초</t>
        </is>
      </c>
      <c r="F1302" s="8" t="inlineStr">
        <is>
          <t>보강통옹벽_파괴유형</t>
        </is>
      </c>
      <c r="G1302" s="24" t="inlineStr">
        <is>
          <t>보강통옹벽의 안정해석시 파괴유형</t>
        </is>
      </c>
    </row>
    <row r="1303" customFormat="1" s="1">
      <c r="A1303" s="6" t="n">
        <v>685</v>
      </c>
      <c r="B1303" s="145" t="n">
        <v>92</v>
      </c>
      <c r="C1303" s="146" t="n">
        <v>1</v>
      </c>
      <c r="D1303" s="7" t="n">
        <v>3</v>
      </c>
      <c r="E1303" s="6" t="inlineStr">
        <is>
          <t>산안법</t>
        </is>
      </c>
      <c r="F1303" s="8" t="inlineStr">
        <is>
          <t>MSDS</t>
        </is>
      </c>
      <c r="G1303" s="24" t="inlineStr">
        <is>
          <t>물질안전보건자료(MSDS)</t>
        </is>
      </c>
    </row>
    <row r="1304" customFormat="1" s="1">
      <c r="A1304" s="6" t="n">
        <v>686</v>
      </c>
      <c r="B1304" s="145" t="n">
        <v>92</v>
      </c>
      <c r="C1304" s="146" t="n">
        <v>1</v>
      </c>
      <c r="D1304" s="7" t="n">
        <v>4</v>
      </c>
      <c r="E1304" s="6" t="inlineStr">
        <is>
          <t>가설공사</t>
        </is>
      </c>
      <c r="F1304" s="8" t="inlineStr">
        <is>
          <t>슬립폼_슬라이딩폼</t>
        </is>
      </c>
      <c r="G1304" s="24" t="inlineStr">
        <is>
          <t>슬립폼(Slip form)과 슬라이딩폼(Sliding form)</t>
        </is>
      </c>
    </row>
    <row r="1305" customFormat="1" s="1">
      <c r="A1305" s="6" t="n">
        <v>687</v>
      </c>
      <c r="B1305" s="145" t="n">
        <v>92</v>
      </c>
      <c r="C1305" s="146" t="n">
        <v>1</v>
      </c>
      <c r="D1305" s="7" t="n">
        <v>5</v>
      </c>
      <c r="E1305" s="6" t="inlineStr">
        <is>
          <t>안전관리론</t>
        </is>
      </c>
      <c r="F1305" s="8" t="inlineStr">
        <is>
          <t>적응기제</t>
        </is>
      </c>
      <c r="G1305" s="24" t="inlineStr">
        <is>
          <t>적응기제(Adjustment mechanism)</t>
        </is>
      </c>
    </row>
    <row r="1306" customFormat="1" s="1">
      <c r="A1306" s="6" t="n">
        <v>688</v>
      </c>
      <c r="B1306" s="145" t="n">
        <v>92</v>
      </c>
      <c r="C1306" s="146" t="n">
        <v>1</v>
      </c>
      <c r="D1306" s="7" t="n">
        <v>6</v>
      </c>
      <c r="E1306" s="6" t="inlineStr">
        <is>
          <t>교량</t>
        </is>
      </c>
      <c r="F1306" s="8" t="inlineStr">
        <is>
          <t>영향선</t>
        </is>
      </c>
      <c r="G1306" s="24" t="inlineStr">
        <is>
          <t>교량의 정밀안전진단에서 차량재해를 위한 영향선</t>
        </is>
      </c>
    </row>
    <row r="1307" customFormat="1" s="1">
      <c r="A1307" s="6" t="n">
        <v>689</v>
      </c>
      <c r="B1307" s="145" t="n">
        <v>92</v>
      </c>
      <c r="C1307" s="146" t="n">
        <v>1</v>
      </c>
      <c r="D1307" s="7" t="n">
        <v>7</v>
      </c>
      <c r="E1307" s="6" t="inlineStr">
        <is>
          <t>안전관리론</t>
        </is>
      </c>
      <c r="F1307" s="8" t="inlineStr">
        <is>
          <t>3E재해예방이론</t>
        </is>
      </c>
      <c r="G1307" s="24" t="inlineStr">
        <is>
          <t>3E 재해예방이론</t>
        </is>
      </c>
    </row>
    <row r="1308" customFormat="1" s="1">
      <c r="A1308" s="6" t="n">
        <v>690</v>
      </c>
      <c r="B1308" s="145" t="n">
        <v>92</v>
      </c>
      <c r="C1308" s="146" t="n">
        <v>1</v>
      </c>
      <c r="D1308" s="7" t="n">
        <v>8</v>
      </c>
      <c r="E1308" s="6" t="inlineStr">
        <is>
          <t>토공</t>
        </is>
      </c>
      <c r="F1308" s="8" t="inlineStr">
        <is>
          <t>영공기간극곡선</t>
        </is>
      </c>
      <c r="G1308" s="24" t="inlineStr">
        <is>
          <t>영공기 간극곡선(Zero air void curve)</t>
        </is>
      </c>
    </row>
    <row r="1309" customFormat="1" s="1">
      <c r="A1309" s="6" t="n">
        <v>691</v>
      </c>
      <c r="B1309" s="145" t="n">
        <v>92</v>
      </c>
      <c r="C1309" s="146" t="n">
        <v>1</v>
      </c>
      <c r="D1309" s="7" t="n">
        <v>9</v>
      </c>
      <c r="E1309" s="6" t="inlineStr">
        <is>
          <t>기타</t>
        </is>
      </c>
      <c r="F1309" s="8" t="inlineStr">
        <is>
          <t>간접공해</t>
        </is>
      </c>
      <c r="G1309" s="24" t="inlineStr">
        <is>
          <t>간접공해</t>
        </is>
      </c>
    </row>
    <row r="1310" customFormat="1" s="1">
      <c r="A1310" s="6" t="n">
        <v>692</v>
      </c>
      <c r="B1310" s="145" t="n">
        <v>92</v>
      </c>
      <c r="C1310" s="146" t="n">
        <v>1</v>
      </c>
      <c r="D1310" s="7" t="n">
        <v>10</v>
      </c>
      <c r="E1310" s="6" t="inlineStr">
        <is>
          <t>제방 댐 항만</t>
        </is>
      </c>
      <c r="F1310" s="8" t="inlineStr">
        <is>
          <t>통문_통관</t>
        </is>
      </c>
      <c r="G1310" s="24" t="inlineStr">
        <is>
          <t>제방에 설치하는 통문, 통관</t>
        </is>
      </c>
    </row>
    <row r="1311" customFormat="1" s="1">
      <c r="A1311" s="6" t="n">
        <v>693</v>
      </c>
      <c r="B1311" s="145" t="n">
        <v>92</v>
      </c>
      <c r="C1311" s="146" t="n">
        <v>1</v>
      </c>
      <c r="D1311" s="7" t="n">
        <v>11</v>
      </c>
      <c r="E1311" s="6" t="inlineStr">
        <is>
          <t>안전관리론</t>
        </is>
      </c>
      <c r="F1311" s="8" t="inlineStr">
        <is>
          <t>하인리히재해5단계</t>
        </is>
      </c>
      <c r="G1311" s="24" t="inlineStr">
        <is>
          <t>하인리히의 재해발생 5단계</t>
        </is>
      </c>
    </row>
    <row r="1312" customFormat="1" s="1">
      <c r="A1312" s="6" t="n">
        <v>694</v>
      </c>
      <c r="B1312" s="145" t="n">
        <v>92</v>
      </c>
      <c r="C1312" s="146" t="n">
        <v>1</v>
      </c>
      <c r="D1312" s="7" t="n">
        <v>12</v>
      </c>
      <c r="E1312" s="6" t="inlineStr">
        <is>
          <t>터널</t>
        </is>
      </c>
      <c r="F1312" s="8" t="inlineStr">
        <is>
          <t>비배수터널</t>
        </is>
      </c>
      <c r="G1312" s="24" t="inlineStr">
        <is>
          <t>비배수터널</t>
        </is>
      </c>
    </row>
    <row r="1313" customFormat="1" s="1">
      <c r="A1313" s="6" t="n">
        <v>695</v>
      </c>
      <c r="B1313" s="145" t="n">
        <v>92</v>
      </c>
      <c r="C1313" s="146" t="n">
        <v>1</v>
      </c>
      <c r="D1313" s="7" t="n">
        <v>13</v>
      </c>
      <c r="E1313" s="6" t="inlineStr">
        <is>
          <t>터널</t>
        </is>
      </c>
      <c r="F1313" s="8" t="inlineStr">
        <is>
          <t>암반등급판별</t>
        </is>
      </c>
      <c r="G1313" s="24" t="inlineStr">
        <is>
          <t>암반등급판별기준</t>
        </is>
      </c>
    </row>
    <row r="1314" customFormat="1" s="1">
      <c r="A1314" s="6" t="n">
        <v>696</v>
      </c>
      <c r="B1314" s="145" t="n">
        <v>92</v>
      </c>
      <c r="C1314" s="146" t="n">
        <v>2</v>
      </c>
      <c r="D1314" s="7" t="n">
        <v>1</v>
      </c>
      <c r="E1314" s="6" t="inlineStr">
        <is>
          <t>산안법</t>
        </is>
      </c>
      <c r="F1314" s="8" t="inlineStr">
        <is>
          <t>위험성평가_절차</t>
        </is>
      </c>
      <c r="G1314" s="24" t="inlineStr">
        <is>
          <t>건설현장의 위험성 평가방법의 실시시기와 절차에 대하여 설명하시오.</t>
        </is>
      </c>
    </row>
    <row r="1315" customFormat="1" s="1">
      <c r="A1315" s="6" t="n">
        <v>697</v>
      </c>
      <c r="B1315" s="145" t="n">
        <v>92</v>
      </c>
      <c r="C1315" s="146" t="n">
        <v>2</v>
      </c>
      <c r="D1315" s="7" t="n">
        <v>2</v>
      </c>
      <c r="E1315" s="6" t="inlineStr">
        <is>
          <t>건축</t>
        </is>
      </c>
      <c r="F1315" s="8" t="inlineStr">
        <is>
          <t>초고층외부작업_재해</t>
        </is>
      </c>
      <c r="G1315" s="24" t="inlineStr">
        <is>
          <t>초고층 빌딩공사에서 외부작업 중 발생할 수 있는 재해의 유형과 안전관리대책에 대하여 설명하시오</t>
        </is>
      </c>
    </row>
    <row r="1316" customFormat="1" s="1">
      <c r="A1316" s="6" t="n">
        <v>698</v>
      </c>
      <c r="B1316" s="145" t="n">
        <v>92</v>
      </c>
      <c r="C1316" s="146" t="n">
        <v>2</v>
      </c>
      <c r="D1316" s="7" t="n">
        <v>3</v>
      </c>
      <c r="E1316" s="6" t="inlineStr">
        <is>
          <t>기초</t>
        </is>
      </c>
      <c r="F1316" s="8" t="inlineStr">
        <is>
          <t>지하구조물_부상방지</t>
        </is>
      </c>
      <c r="G1316" s="24" t="inlineStr">
        <is>
          <t>지하수에 의한 지하구조물의 부상원인과 방지대책을 설명하시오.</t>
        </is>
      </c>
    </row>
    <row r="1317" customFormat="1" s="1">
      <c r="A1317" s="6" t="n">
        <v>699</v>
      </c>
      <c r="B1317" s="145" t="n">
        <v>92</v>
      </c>
      <c r="C1317" s="146" t="n">
        <v>2</v>
      </c>
      <c r="D1317" s="7" t="n">
        <v>4</v>
      </c>
      <c r="E1317" s="6" t="inlineStr">
        <is>
          <t>건진법</t>
        </is>
      </c>
      <c r="F1317" s="8" t="inlineStr">
        <is>
          <t>안전점검종류_초기안전점검</t>
        </is>
      </c>
      <c r="G1317" s="24" t="inlineStr">
        <is>
          <t>건설기술관리법상 안전점검의 종류와 건설공사를 준공하기 직전에 실시하는 초기안전점검 대상건설공사 및 내용을 설명하시오.</t>
        </is>
      </c>
    </row>
    <row r="1318" customFormat="1" s="1">
      <c r="A1318" s="6" t="n">
        <v>700</v>
      </c>
      <c r="B1318" s="145" t="n">
        <v>92</v>
      </c>
      <c r="C1318" s="146" t="n">
        <v>2</v>
      </c>
      <c r="D1318" s="7" t="n">
        <v>5</v>
      </c>
      <c r="E1318" s="6" t="inlineStr">
        <is>
          <t>제방 댐 항만</t>
        </is>
      </c>
      <c r="F1318" s="8" t="inlineStr">
        <is>
          <t>댐_매스콘크리트타설</t>
        </is>
      </c>
      <c r="G1318" s="24" t="inlineStr">
        <is>
          <t>댐공사에서 매스콘크리트 타설시 안전대책을 설명하시오.</t>
        </is>
      </c>
    </row>
    <row r="1319" customFormat="1" s="1">
      <c r="A1319" s="6" t="n">
        <v>701</v>
      </c>
      <c r="B1319" s="145" t="n">
        <v>92</v>
      </c>
      <c r="C1319" s="146" t="n">
        <v>2</v>
      </c>
      <c r="D1319" s="7" t="n">
        <v>6</v>
      </c>
      <c r="E1319" s="6" t="inlineStr">
        <is>
          <t>토공</t>
        </is>
      </c>
      <c r="F1319" s="8" t="inlineStr">
        <is>
          <t>옹벽침투수배수_유선망</t>
        </is>
      </c>
      <c r="G1319" s="24" t="inlineStr">
        <is>
          <t>옹벽배변에 있는 침투수를 배수하기 위한 방법과 이에 따른 유선망과 수압분포에 대하여 설명하시오.</t>
        </is>
      </c>
    </row>
    <row r="1320" customFormat="1" s="1">
      <c r="A1320" s="6" t="n">
        <v>702</v>
      </c>
      <c r="B1320" s="145" t="n">
        <v>92</v>
      </c>
      <c r="C1320" s="146" t="n">
        <v>3</v>
      </c>
      <c r="D1320" s="7" t="n">
        <v>1</v>
      </c>
      <c r="E1320" s="6" t="inlineStr">
        <is>
          <t>터널</t>
        </is>
      </c>
      <c r="F1320" s="8" t="inlineStr">
        <is>
          <t>갱문종류_시공안전</t>
        </is>
      </c>
      <c r="G1320" s="24" t="inlineStr">
        <is>
          <t>터널공사에서 갱문의 종류 및 특성과 공사용 갱문 시공 중 안전대책을 설명하시오.</t>
        </is>
      </c>
    </row>
    <row r="1321" customFormat="1" s="1">
      <c r="A1321" s="6" t="n">
        <v>703</v>
      </c>
      <c r="B1321" s="145" t="n">
        <v>92</v>
      </c>
      <c r="C1321" s="146" t="n">
        <v>3</v>
      </c>
      <c r="D1321" s="7" t="n">
        <v>2</v>
      </c>
      <c r="E1321" s="6" t="inlineStr">
        <is>
          <t>콘크리트</t>
        </is>
      </c>
      <c r="F1321" s="8" t="inlineStr">
        <is>
          <t>보수재료_적합성평가</t>
        </is>
      </c>
      <c r="G1321" s="24" t="inlineStr">
        <is>
          <t>콘크리트 구조물의 보수공사에서 보수재료의 적합성을 평가하는 기준을 설명하시오.</t>
        </is>
      </c>
    </row>
    <row r="1322" customFormat="1" s="1">
      <c r="A1322" s="6" t="n">
        <v>704</v>
      </c>
      <c r="B1322" s="145" t="n">
        <v>92</v>
      </c>
      <c r="C1322" s="146" t="n">
        <v>3</v>
      </c>
      <c r="D1322" s="7" t="n">
        <v>3</v>
      </c>
      <c r="E1322" s="6" t="inlineStr">
        <is>
          <t>재해유형</t>
        </is>
      </c>
      <c r="F1322" s="8" t="inlineStr">
        <is>
          <t>건축현장화재_피난대책</t>
        </is>
      </c>
      <c r="G1322" s="24" t="inlineStr">
        <is>
          <t>건축현장에서 발생되는 화재의 원인과 근로자의 피난대책을 설명하시오.</t>
        </is>
      </c>
    </row>
    <row r="1323" customFormat="1" s="1">
      <c r="A1323" s="6" t="n">
        <v>705</v>
      </c>
      <c r="B1323" s="145" t="n">
        <v>92</v>
      </c>
      <c r="C1323" s="146" t="n">
        <v>3</v>
      </c>
      <c r="D1323" s="7" t="n">
        <v>4</v>
      </c>
      <c r="E1323" s="6" t="inlineStr">
        <is>
          <t>토공</t>
        </is>
      </c>
      <c r="F1323" s="8" t="inlineStr">
        <is>
          <t>벌목작업_안전대책</t>
        </is>
      </c>
      <c r="G1323" s="24" t="inlineStr">
        <is>
          <t>건설현장에서 원지반표면에 대한 벌목작업의 안전대책을 설명하시오.</t>
        </is>
      </c>
    </row>
    <row r="1324" customFormat="1" s="1">
      <c r="A1324" s="6" t="n">
        <v>706</v>
      </c>
      <c r="B1324" s="145" t="n">
        <v>92</v>
      </c>
      <c r="C1324" s="146" t="n">
        <v>3</v>
      </c>
      <c r="D1324" s="7" t="n">
        <v>5</v>
      </c>
      <c r="E1324" s="6" t="inlineStr">
        <is>
          <t>기초</t>
        </is>
      </c>
      <c r="F1324" s="8" t="inlineStr">
        <is>
          <t>정보화시공_안전</t>
        </is>
      </c>
      <c r="G1324" s="24" t="inlineStr">
        <is>
          <t>굴착공사에서 안전사고에방을 위한 정보화시공에 대하여 설명하시오.</t>
        </is>
      </c>
    </row>
    <row r="1325" customFormat="1" s="1">
      <c r="A1325" s="6" t="n">
        <v>707</v>
      </c>
      <c r="B1325" s="145" t="n">
        <v>92</v>
      </c>
      <c r="C1325" s="146" t="n">
        <v>3</v>
      </c>
      <c r="D1325" s="7" t="n">
        <v>6</v>
      </c>
      <c r="E1325" s="6" t="inlineStr">
        <is>
          <t>강재</t>
        </is>
      </c>
      <c r="F1325" s="8" t="inlineStr">
        <is>
          <t>용접결함_발생원인</t>
        </is>
      </c>
      <c r="G1325" s="24" t="inlineStr">
        <is>
          <t>용접결합의 발생원인 및 대책을 설명하시오.</t>
        </is>
      </c>
    </row>
    <row r="1326" customFormat="1" s="1">
      <c r="A1326" s="6" t="n">
        <v>708</v>
      </c>
      <c r="B1326" s="145" t="n">
        <v>92</v>
      </c>
      <c r="C1326" s="146" t="n">
        <v>4</v>
      </c>
      <c r="D1326" s="7" t="n">
        <v>1</v>
      </c>
      <c r="E1326" s="6" t="inlineStr">
        <is>
          <t>시설물안전법</t>
        </is>
      </c>
      <c r="F1326" s="8" t="inlineStr">
        <is>
          <t>중대한결함_정밀안전진단</t>
        </is>
      </c>
      <c r="G1326" s="24" t="inlineStr">
        <is>
          <t>시설물의 안전점검 및 정밀안전진단 실시결과에서 중대한 결함에 대하여 설명하시오.</t>
        </is>
      </c>
    </row>
    <row r="1327" customFormat="1" s="1">
      <c r="A1327" s="6" t="n">
        <v>709</v>
      </c>
      <c r="B1327" s="145" t="n">
        <v>92</v>
      </c>
      <c r="C1327" s="146" t="n">
        <v>4</v>
      </c>
      <c r="D1327" s="7" t="n">
        <v>2</v>
      </c>
      <c r="E1327" s="6" t="inlineStr">
        <is>
          <t>안전관리론</t>
        </is>
      </c>
      <c r="F1327" s="8" t="inlineStr">
        <is>
          <t>현장소장_안전관리활동</t>
        </is>
      </c>
      <c r="G1327" s="24" t="inlineStr">
        <is>
          <t>현장소장으로서 건설현장의 일상적인 안전관리 활동에 대하여 설명하시오.</t>
        </is>
      </c>
    </row>
    <row r="1328" customFormat="1" s="1">
      <c r="A1328" s="6" t="n">
        <v>710</v>
      </c>
      <c r="B1328" s="145" t="n">
        <v>92</v>
      </c>
      <c r="C1328" s="146" t="n">
        <v>4</v>
      </c>
      <c r="D1328" s="7" t="n">
        <v>3</v>
      </c>
      <c r="E1328" s="6" t="inlineStr">
        <is>
          <t>교량</t>
        </is>
      </c>
      <c r="F1328" s="8" t="inlineStr">
        <is>
          <t>박스거더교_ILM</t>
        </is>
      </c>
      <c r="G1328" s="24" t="inlineStr">
        <is>
          <t>프리스트레스콘크리트 박스거더 교량의 가설공법중 압출공법(ILM)에 의한 시공시 문제점 및 안전대책을 설명하시오.</t>
        </is>
      </c>
    </row>
    <row r="1329" customFormat="1" s="1">
      <c r="A1329" s="6" t="n">
        <v>711</v>
      </c>
      <c r="B1329" s="145" t="n">
        <v>92</v>
      </c>
      <c r="C1329" s="146" t="n">
        <v>4</v>
      </c>
      <c r="D1329" s="7" t="n">
        <v>4</v>
      </c>
      <c r="E1329" s="6" t="inlineStr">
        <is>
          <t>강재</t>
        </is>
      </c>
      <c r="F1329" s="8" t="inlineStr">
        <is>
          <t>구조물부식_손상</t>
        </is>
      </c>
      <c r="G1329" s="24" t="inlineStr">
        <is>
          <t>구조물에서 부식에 의한 손상원인과 대책을 설명하시오.</t>
        </is>
      </c>
    </row>
    <row r="1330" customFormat="1" s="1">
      <c r="A1330" s="6" t="n">
        <v>712</v>
      </c>
      <c r="B1330" s="145" t="n">
        <v>92</v>
      </c>
      <c r="C1330" s="146" t="n">
        <v>4</v>
      </c>
      <c r="D1330" s="7" t="n">
        <v>5</v>
      </c>
      <c r="E1330" s="6" t="inlineStr">
        <is>
          <t>해체공사</t>
        </is>
      </c>
      <c r="F1330" s="8" t="inlineStr">
        <is>
          <t>석면해체제거_안전성평가</t>
        </is>
      </c>
      <c r="G1330" s="24" t="inlineStr">
        <is>
          <t>산업안전보건법상 건축물이나 설비의 철거,해체시 석면조사 대상과 석명해체,제거 작업의 안전성 평가기준을 설명하시오.</t>
        </is>
      </c>
    </row>
    <row r="1331" customFormat="1" s="1">
      <c r="A1331" s="6" t="n">
        <v>713</v>
      </c>
      <c r="B1331" s="145" t="n">
        <v>92</v>
      </c>
      <c r="C1331" s="146" t="n">
        <v>4</v>
      </c>
      <c r="D1331" s="7" t="n">
        <v>6</v>
      </c>
      <c r="E1331" s="6" t="inlineStr">
        <is>
          <t>제방 댐 항만</t>
        </is>
      </c>
      <c r="F1331" s="8" t="inlineStr">
        <is>
          <t>하천보_가물막이</t>
        </is>
      </c>
      <c r="G1331" s="24" t="inlineStr">
        <is>
          <t>하천공사에서 보의 축조시 가물막이공법의 종류와 시공시 안전대책을 설명하시오.</t>
        </is>
      </c>
    </row>
    <row r="1332" customFormat="1" s="1">
      <c r="A1332" s="6" t="n">
        <v>652</v>
      </c>
      <c r="B1332" s="145" t="n">
        <v>91</v>
      </c>
      <c r="C1332" s="146" t="n">
        <v>1</v>
      </c>
      <c r="D1332" s="7" t="n">
        <v>1</v>
      </c>
      <c r="E1332" s="6" t="inlineStr">
        <is>
          <t>안전관리론</t>
        </is>
      </c>
      <c r="F1332" s="8" t="inlineStr">
        <is>
          <t>안전성평가</t>
        </is>
      </c>
      <c r="G1332" s="24" t="inlineStr">
        <is>
          <t>안전성평가(Safety Assessment)</t>
        </is>
      </c>
    </row>
    <row r="1333" customFormat="1" s="1">
      <c r="A1333" s="6" t="n">
        <v>653</v>
      </c>
      <c r="B1333" s="145" t="n">
        <v>91</v>
      </c>
      <c r="C1333" s="146" t="n">
        <v>1</v>
      </c>
      <c r="D1333" s="7" t="n">
        <v>2</v>
      </c>
      <c r="E1333" s="6" t="inlineStr">
        <is>
          <t>토공</t>
        </is>
      </c>
      <c r="F1333" s="8" t="inlineStr">
        <is>
          <t>토질동상</t>
        </is>
      </c>
      <c r="G1333" s="24" t="inlineStr">
        <is>
          <t>토질의 동상</t>
        </is>
      </c>
    </row>
    <row r="1334" customFormat="1" s="1">
      <c r="A1334" s="6" t="n">
        <v>654</v>
      </c>
      <c r="B1334" s="145" t="n">
        <v>91</v>
      </c>
      <c r="C1334" s="146" t="n">
        <v>1</v>
      </c>
      <c r="D1334" s="7" t="n">
        <v>3</v>
      </c>
      <c r="E1334" s="6" t="inlineStr">
        <is>
          <t>안전관리론</t>
        </is>
      </c>
      <c r="F1334" s="8" t="inlineStr">
        <is>
          <t>위험성처리기법</t>
        </is>
      </c>
      <c r="G1334" s="24" t="inlineStr">
        <is>
          <t>위험관리를 위한 위험성 처리기법</t>
        </is>
      </c>
    </row>
    <row r="1335" customFormat="1" s="1">
      <c r="A1335" s="6" t="n">
        <v>655</v>
      </c>
      <c r="B1335" s="145" t="n">
        <v>91</v>
      </c>
      <c r="C1335" s="146" t="n">
        <v>1</v>
      </c>
      <c r="D1335" s="7" t="n">
        <v>4</v>
      </c>
      <c r="E1335" s="6" t="inlineStr">
        <is>
          <t>산안법</t>
        </is>
      </c>
      <c r="F1335" s="8" t="inlineStr">
        <is>
          <t>작업장조도기준</t>
        </is>
      </c>
      <c r="G1335" s="24" t="inlineStr">
        <is>
          <t>작업장의 조도기준</t>
        </is>
      </c>
    </row>
    <row r="1336" customFormat="1" s="1">
      <c r="A1336" s="6" t="n">
        <v>656</v>
      </c>
      <c r="B1336" s="145" t="n">
        <v>91</v>
      </c>
      <c r="C1336" s="146" t="n">
        <v>1</v>
      </c>
      <c r="D1336" s="7" t="n">
        <v>5</v>
      </c>
      <c r="E1336" s="6" t="inlineStr">
        <is>
          <t>토공</t>
        </is>
      </c>
      <c r="F1336" s="8" t="inlineStr">
        <is>
          <t>사면파괴_지배요인</t>
        </is>
      </c>
      <c r="G1336" s="24" t="inlineStr">
        <is>
          <t>사면파괴 및 사면안정 지배요인</t>
        </is>
      </c>
    </row>
    <row r="1337" customFormat="1" s="1">
      <c r="A1337" s="6" t="n">
        <v>657</v>
      </c>
      <c r="B1337" s="145" t="n">
        <v>91</v>
      </c>
      <c r="C1337" s="146" t="n">
        <v>1</v>
      </c>
      <c r="D1337" s="7" t="n">
        <v>6</v>
      </c>
      <c r="E1337" s="6" t="inlineStr">
        <is>
          <t>안전관리론</t>
        </is>
      </c>
      <c r="F1337" s="8" t="inlineStr">
        <is>
          <t>CM안전관리</t>
        </is>
      </c>
      <c r="G1337" s="24" t="inlineStr">
        <is>
          <t>건설사업관리(CM)에서 안전관리</t>
        </is>
      </c>
    </row>
    <row r="1338" customFormat="1" s="1">
      <c r="A1338" s="6" t="n">
        <v>658</v>
      </c>
      <c r="B1338" s="145" t="n">
        <v>91</v>
      </c>
      <c r="C1338" s="146" t="n">
        <v>1</v>
      </c>
      <c r="D1338" s="7" t="n">
        <v>7</v>
      </c>
      <c r="E1338" s="6" t="inlineStr">
        <is>
          <t>기초</t>
        </is>
      </c>
      <c r="F1338" s="8" t="inlineStr">
        <is>
          <t>히빙현상</t>
        </is>
      </c>
      <c r="G1338" s="24" t="inlineStr">
        <is>
          <t>히빙(Heaving) 현상</t>
        </is>
      </c>
    </row>
    <row r="1339" customFormat="1" s="1">
      <c r="A1339" s="6" t="n">
        <v>659</v>
      </c>
      <c r="B1339" s="145" t="n">
        <v>91</v>
      </c>
      <c r="C1339" s="146" t="n">
        <v>1</v>
      </c>
      <c r="D1339" s="7" t="n">
        <v>8</v>
      </c>
      <c r="E1339" s="6" t="inlineStr">
        <is>
          <t>안전관리론</t>
        </is>
      </c>
      <c r="F1339" s="8" t="inlineStr">
        <is>
          <t>제조물책임</t>
        </is>
      </c>
      <c r="G1339" s="24" t="inlineStr">
        <is>
          <t>제조물 책임(Product Liability)</t>
        </is>
      </c>
    </row>
    <row r="1340" customFormat="1" s="1">
      <c r="A1340" s="6" t="n">
        <v>660</v>
      </c>
      <c r="B1340" s="145" t="n">
        <v>91</v>
      </c>
      <c r="C1340" s="146" t="n">
        <v>1</v>
      </c>
      <c r="D1340" s="7" t="n">
        <v>9</v>
      </c>
      <c r="E1340" s="6" t="inlineStr">
        <is>
          <t>콘크리트</t>
        </is>
      </c>
      <c r="F1340" s="8" t="inlineStr">
        <is>
          <t>강섬유보강콘크리트</t>
        </is>
      </c>
      <c r="G1340" s="24" t="inlineStr">
        <is>
          <t>강섬유 보강 콘크리트</t>
        </is>
      </c>
    </row>
    <row r="1341" customFormat="1" s="1">
      <c r="A1341" s="6" t="n">
        <v>661</v>
      </c>
      <c r="B1341" s="145" t="n">
        <v>91</v>
      </c>
      <c r="C1341" s="146" t="n">
        <v>1</v>
      </c>
      <c r="D1341" s="7" t="n">
        <v>10</v>
      </c>
      <c r="E1341" s="6" t="inlineStr">
        <is>
          <t>안전관리론</t>
        </is>
      </c>
      <c r="F1341" s="8" t="inlineStr">
        <is>
          <t>바이오리듬</t>
        </is>
      </c>
      <c r="G1341" s="24" t="inlineStr">
        <is>
          <t>근로자 작업안전을 위한 Bio-Rhythm 적용방법</t>
        </is>
      </c>
    </row>
    <row r="1342" customFormat="1" s="1">
      <c r="A1342" s="6" t="n">
        <v>662</v>
      </c>
      <c r="B1342" s="145" t="n">
        <v>91</v>
      </c>
      <c r="C1342" s="146" t="n">
        <v>1</v>
      </c>
      <c r="D1342" s="7" t="n">
        <v>11</v>
      </c>
      <c r="E1342" s="6" t="inlineStr">
        <is>
          <t>강재</t>
        </is>
      </c>
      <c r="F1342" s="8" t="inlineStr">
        <is>
          <t>응력부식_지연파괴</t>
        </is>
      </c>
      <c r="G1342" s="24" t="inlineStr">
        <is>
          <t>응력부식과 지연파괴</t>
        </is>
      </c>
    </row>
    <row r="1343" customFormat="1" s="1">
      <c r="A1343" s="6" t="n">
        <v>663</v>
      </c>
      <c r="B1343" s="145" t="n">
        <v>91</v>
      </c>
      <c r="C1343" s="146" t="n">
        <v>1</v>
      </c>
      <c r="D1343" s="7" t="n">
        <v>12</v>
      </c>
      <c r="E1343" s="6" t="inlineStr">
        <is>
          <t>지진</t>
        </is>
      </c>
      <c r="F1343" s="8" t="inlineStr">
        <is>
          <t>지진발생_행동요령</t>
        </is>
      </c>
      <c r="G1343" s="24" t="inlineStr">
        <is>
          <t>지진발생시 행동요령</t>
        </is>
      </c>
    </row>
    <row r="1344" customFormat="1" s="1">
      <c r="A1344" s="6" t="n">
        <v>664</v>
      </c>
      <c r="B1344" s="145" t="n">
        <v>91</v>
      </c>
      <c r="C1344" s="146" t="n">
        <v>1</v>
      </c>
      <c r="D1344" s="7" t="n">
        <v>13</v>
      </c>
      <c r="E1344" s="6" t="inlineStr">
        <is>
          <t>토공</t>
        </is>
      </c>
      <c r="F1344" s="8" t="inlineStr">
        <is>
          <t>연화현상(Frost boil)</t>
        </is>
      </c>
      <c r="G1344" s="24" t="inlineStr">
        <is>
          <t>연화현상 (Frost boil)</t>
        </is>
      </c>
    </row>
    <row r="1345" customFormat="1" s="1">
      <c r="A1345" s="6" t="n">
        <v>665</v>
      </c>
      <c r="B1345" s="145" t="n">
        <v>91</v>
      </c>
      <c r="C1345" s="146" t="n">
        <v>2</v>
      </c>
      <c r="D1345" s="7" t="n">
        <v>1</v>
      </c>
      <c r="E1345" s="6" t="inlineStr">
        <is>
          <t>산안법</t>
        </is>
      </c>
      <c r="F1345" s="8" t="inlineStr">
        <is>
          <t>안전교육_외국인근로자</t>
        </is>
      </c>
      <c r="G1345" s="24" t="inlineStr">
        <is>
          <t>건설현장에서 실시하는 안전교육의 종류를 열거하고, 외국인 근로자에게 실시하는 안전교육에 대한 문제점 및 대책을 설명하시오.</t>
        </is>
      </c>
    </row>
    <row r="1346" customFormat="1" s="1">
      <c r="A1346" s="6" t="n">
        <v>666</v>
      </c>
      <c r="B1346" s="145" t="n">
        <v>91</v>
      </c>
      <c r="C1346" s="146" t="n">
        <v>2</v>
      </c>
      <c r="D1346" s="7" t="n">
        <v>2</v>
      </c>
      <c r="E1346" s="6" t="inlineStr">
        <is>
          <t>산안법</t>
        </is>
      </c>
      <c r="F1346" s="8" t="inlineStr">
        <is>
          <t>안전검사제도</t>
        </is>
      </c>
      <c r="G1346" s="24" t="inlineStr">
        <is>
          <t>산업안전보건법상의 안전검사 제도를 설명하시오.</t>
        </is>
      </c>
    </row>
    <row r="1347" customFormat="1" s="1">
      <c r="A1347" s="6" t="n">
        <v>667</v>
      </c>
      <c r="B1347" s="145" t="n">
        <v>91</v>
      </c>
      <c r="C1347" s="146" t="n">
        <v>2</v>
      </c>
      <c r="D1347" s="7" t="n">
        <v>3</v>
      </c>
      <c r="E1347" s="6" t="inlineStr">
        <is>
          <t>콘크리트</t>
        </is>
      </c>
      <c r="F1347" s="8" t="inlineStr">
        <is>
          <t>PC공사_재해유형</t>
        </is>
      </c>
      <c r="G1347" s="24" t="inlineStr">
        <is>
          <t>프리캐스트 콘크리트(PC) 공사시 발생되는 재해유형과 안전대책을 설명하시오.</t>
        </is>
      </c>
    </row>
    <row r="1348" customFormat="1" s="1">
      <c r="A1348" s="6" t="n">
        <v>668</v>
      </c>
      <c r="B1348" s="145" t="n">
        <v>91</v>
      </c>
      <c r="C1348" s="146" t="n">
        <v>2</v>
      </c>
      <c r="D1348" s="7" t="n">
        <v>4</v>
      </c>
      <c r="E1348" s="6" t="inlineStr">
        <is>
          <t>교량</t>
        </is>
      </c>
      <c r="F1348" s="8" t="inlineStr">
        <is>
          <t>교량_안전진단절차</t>
        </is>
      </c>
      <c r="G1348" s="24" t="inlineStr">
        <is>
          <t>교량구조물의 안전성평가를 위한 안전진단 수행시 단계별 안전진단 절차에 대하여 설명하시오.</t>
        </is>
      </c>
    </row>
    <row r="1349" customFormat="1" s="1">
      <c r="A1349" s="6" t="n">
        <v>669</v>
      </c>
      <c r="B1349" s="145" t="n">
        <v>91</v>
      </c>
      <c r="C1349" s="146" t="n">
        <v>2</v>
      </c>
      <c r="D1349" s="7" t="n">
        <v>5</v>
      </c>
      <c r="E1349" s="6" t="inlineStr">
        <is>
          <t>기타</t>
        </is>
      </c>
      <c r="F1349" s="8" t="inlineStr">
        <is>
          <t>비산먼지_방지</t>
        </is>
      </c>
      <c r="G1349" s="24" t="inlineStr">
        <is>
          <t>건설현장의 시공과정에서 발생하는 비산먼지 발생원인과 방지대책에 대하여 설명하시오.</t>
        </is>
      </c>
    </row>
    <row r="1350" customFormat="1" s="1">
      <c r="A1350" s="6" t="n">
        <v>670</v>
      </c>
      <c r="B1350" s="145" t="n">
        <v>91</v>
      </c>
      <c r="C1350" s="146" t="n">
        <v>2</v>
      </c>
      <c r="D1350" s="7" t="n">
        <v>6</v>
      </c>
      <c r="E1350" s="6" t="inlineStr">
        <is>
          <t>기초</t>
        </is>
      </c>
      <c r="F1350" s="8" t="inlineStr">
        <is>
          <t>토류벽_지지공법</t>
        </is>
      </c>
      <c r="G1350" s="24" t="inlineStr">
        <is>
          <t>토류벽의 지지공법의 종류를 3가지 제시하고, 각 공법별 안전성 확보방안에 대하여 설명하시오.</t>
        </is>
      </c>
    </row>
    <row r="1351" customFormat="1" s="1">
      <c r="A1351" s="6" t="n">
        <v>671</v>
      </c>
      <c r="B1351" s="145" t="n">
        <v>91</v>
      </c>
      <c r="C1351" s="146" t="n">
        <v>3</v>
      </c>
      <c r="D1351" s="7" t="n">
        <v>1</v>
      </c>
      <c r="E1351" s="6" t="inlineStr">
        <is>
          <t>가설공사</t>
        </is>
      </c>
      <c r="F1351" s="8" t="inlineStr">
        <is>
          <t>거푸집동바리_재해유형</t>
        </is>
      </c>
      <c r="G1351" s="24" t="inlineStr">
        <is>
          <t>거푸집 및 동바리 설치작업시 발생되는 재해유형을 분류하고, 각각의 유형에 대한 안전대책을 설명하시오.</t>
        </is>
      </c>
    </row>
    <row r="1352" customFormat="1" s="1">
      <c r="A1352" s="6" t="n">
        <v>672</v>
      </c>
      <c r="B1352" s="145" t="n">
        <v>91</v>
      </c>
      <c r="C1352" s="146" t="n">
        <v>3</v>
      </c>
      <c r="D1352" s="7" t="n">
        <v>2</v>
      </c>
      <c r="E1352" s="6" t="inlineStr">
        <is>
          <t>건설기계</t>
        </is>
      </c>
      <c r="F1352" s="8" t="inlineStr">
        <is>
          <t>리프트_재해유형</t>
        </is>
      </c>
      <c r="G1352" s="24" t="inlineStr">
        <is>
          <t>건설공사 현장에서 사용되고 있는 리프트 (Lift)의 조립,해체 및 운행시 발생되는 재해 유형과 안전대책에 대하여 설명하시오.</t>
        </is>
      </c>
    </row>
    <row r="1353" customFormat="1" s="1">
      <c r="A1353" s="6" t="n">
        <v>673</v>
      </c>
      <c r="B1353" s="145" t="n">
        <v>91</v>
      </c>
      <c r="C1353" s="146" t="n">
        <v>3</v>
      </c>
      <c r="D1353" s="7" t="n">
        <v>3</v>
      </c>
      <c r="E1353" s="6" t="inlineStr">
        <is>
          <t>교량</t>
        </is>
      </c>
      <c r="F1353" s="8" t="inlineStr">
        <is>
          <t>교량콘크리트_보수보강</t>
        </is>
      </c>
      <c r="G1353" s="24" t="inlineStr">
        <is>
          <t>콘크리트 교량구조물을 중심으로 발생된 변형에 대한 보수, 보강기법에 대하여 설명하시오.</t>
        </is>
      </c>
    </row>
    <row r="1354" customFormat="1" s="1">
      <c r="A1354" s="6" t="n">
        <v>674</v>
      </c>
      <c r="B1354" s="145" t="n">
        <v>91</v>
      </c>
      <c r="C1354" s="146" t="n">
        <v>3</v>
      </c>
      <c r="D1354" s="7" t="n">
        <v>4</v>
      </c>
      <c r="E1354" s="6" t="inlineStr">
        <is>
          <t>건설기계</t>
        </is>
      </c>
      <c r="F1354" s="8" t="inlineStr">
        <is>
          <t>타워크레인_지지방식</t>
        </is>
      </c>
      <c r="G1354" s="24" t="inlineStr">
        <is>
          <t>T/C(Tower Crane)를 고정하는 지지방식과 지지방식에 따를 안전대책을 설명하시오.</t>
        </is>
      </c>
    </row>
    <row r="1355" customFormat="1" s="1">
      <c r="A1355" s="6" t="n">
        <v>675</v>
      </c>
      <c r="B1355" s="145" t="n">
        <v>91</v>
      </c>
      <c r="C1355" s="146" t="n">
        <v>3</v>
      </c>
      <c r="D1355" s="7" t="n">
        <v>5</v>
      </c>
      <c r="E1355" s="6" t="inlineStr">
        <is>
          <t>콘크리트</t>
        </is>
      </c>
      <c r="F1355" s="8" t="inlineStr">
        <is>
          <t>바닷모래_문제점</t>
        </is>
      </c>
      <c r="G1355" s="24" t="inlineStr">
        <is>
          <t>바닷모래(海沙) 사용시 구조물의 안전상 문제점 및 대책에 대하여 설명하시오.</t>
        </is>
      </c>
    </row>
    <row r="1356" customFormat="1" s="1">
      <c r="A1356" s="6" t="n">
        <v>676</v>
      </c>
      <c r="B1356" s="145" t="n">
        <v>91</v>
      </c>
      <c r="C1356" s="146" t="n">
        <v>3</v>
      </c>
      <c r="D1356" s="7" t="n">
        <v>6</v>
      </c>
      <c r="E1356" s="6" t="inlineStr">
        <is>
          <t>터널</t>
        </is>
      </c>
      <c r="F1356" s="8" t="inlineStr">
        <is>
          <t>NATM계측_안전평가</t>
        </is>
      </c>
      <c r="G1356" s="24" t="inlineStr">
        <is>
          <t>NATM 터널 굴착시 안전확보를 위한 계측항목 및 각 항목별 안전을 위한 평가 사항에 대하여 설명하시오.</t>
        </is>
      </c>
    </row>
    <row r="1357" customFormat="1" s="1">
      <c r="A1357" s="6" t="n">
        <v>677</v>
      </c>
      <c r="B1357" s="145" t="n">
        <v>91</v>
      </c>
      <c r="C1357" s="146" t="n">
        <v>4</v>
      </c>
      <c r="D1357" s="7" t="n">
        <v>1</v>
      </c>
      <c r="E1357" s="6" t="inlineStr">
        <is>
          <t>가설공사</t>
        </is>
      </c>
      <c r="F1357" s="8" t="inlineStr">
        <is>
          <t>가설전기_설치기준</t>
        </is>
      </c>
      <c r="G1357" s="24" t="inlineStr">
        <is>
          <t>건설현장의 가설전기를 사용하는데 필요한 시설(가설전선, 분전함, 콘센트 및 꽂음기, 누전차단기, 접지 등)에 대한 설치기준 및 안전대책을 설명하시오.</t>
        </is>
      </c>
    </row>
    <row r="1358" customFormat="1" s="1">
      <c r="A1358" s="6" t="n">
        <v>678</v>
      </c>
      <c r="B1358" s="145" t="n">
        <v>91</v>
      </c>
      <c r="C1358" s="146" t="n">
        <v>4</v>
      </c>
      <c r="D1358" s="7" t="n">
        <v>2</v>
      </c>
      <c r="E1358" s="6" t="inlineStr">
        <is>
          <t>해체공사</t>
        </is>
      </c>
      <c r="F1358" s="8" t="inlineStr">
        <is>
          <t>재건축재개발_해체재해</t>
        </is>
      </c>
      <c r="G1358" s="24" t="inlineStr">
        <is>
          <t>재건축, 재개발 현장에서 기존 시설물 및 건축물 등의 해체공사시 발생되고 있는 재해유형과 안전대책에 대하여 설명하시오.</t>
        </is>
      </c>
    </row>
    <row r="1359" customFormat="1" s="1">
      <c r="A1359" s="6" t="n">
        <v>679</v>
      </c>
      <c r="B1359" s="145" t="n">
        <v>91</v>
      </c>
      <c r="C1359" s="146" t="n">
        <v>4</v>
      </c>
      <c r="D1359" s="7" t="n">
        <v>3</v>
      </c>
      <c r="E1359" s="6" t="inlineStr">
        <is>
          <t>콘크리트</t>
        </is>
      </c>
      <c r="F1359" s="8" t="inlineStr">
        <is>
          <t>경화전후균열</t>
        </is>
      </c>
      <c r="G1359" s="24" t="inlineStr">
        <is>
          <t>콘크리트의 경화 전, 후의 각각에 대한 균열의 원인과 대책에 대하여 설명하시오.</t>
        </is>
      </c>
    </row>
    <row r="1360" customFormat="1" s="1">
      <c r="A1360" s="6" t="n">
        <v>680</v>
      </c>
      <c r="B1360" s="145" t="n">
        <v>91</v>
      </c>
      <c r="C1360" s="146" t="n">
        <v>4</v>
      </c>
      <c r="D1360" s="7" t="n">
        <v>4</v>
      </c>
      <c r="E1360" s="6" t="inlineStr">
        <is>
          <t>가설공사</t>
        </is>
      </c>
      <c r="F1360" s="8" t="inlineStr">
        <is>
          <t>이동식비계_추락</t>
        </is>
      </c>
      <c r="G1360" s="24" t="inlineStr">
        <is>
          <t>이동식 틀비계, 말비계, A형 사다리 등 높이가 낮은 작업발판에서 추락하여 중대재해가 유발되고 있다. 에 대한 재해원인 및 방지대책을 설명하시오.</t>
        </is>
      </c>
    </row>
    <row r="1361" customFormat="1" s="1">
      <c r="A1361" s="6" t="n">
        <v>681</v>
      </c>
      <c r="B1361" s="145" t="n">
        <v>91</v>
      </c>
      <c r="C1361" s="146" t="n">
        <v>4</v>
      </c>
      <c r="D1361" s="7" t="n">
        <v>5</v>
      </c>
      <c r="E1361" s="6" t="inlineStr">
        <is>
          <t>재해유형</t>
        </is>
      </c>
      <c r="F1361" s="8" t="inlineStr">
        <is>
          <t>자연재해_이상기후</t>
        </is>
      </c>
      <c r="G1361" s="24" t="inlineStr">
        <is>
          <t>최근 지구 온난화 등 이상기후의 영향으로 인하여 발생되는 자연재해의 유형과 대한 건설현장에서의 안전대책에 대하여 설명하시오.</t>
        </is>
      </c>
    </row>
    <row r="1362" customFormat="1" s="1">
      <c r="A1362" s="6" t="n">
        <v>682</v>
      </c>
      <c r="B1362" s="145" t="n">
        <v>91</v>
      </c>
      <c r="C1362" s="146" t="n">
        <v>4</v>
      </c>
      <c r="D1362" s="7" t="n">
        <v>6</v>
      </c>
      <c r="E1362" s="6" t="inlineStr">
        <is>
          <t>터널</t>
        </is>
      </c>
      <c r="F1362" s="8" t="inlineStr">
        <is>
          <t>발파풍압_영향</t>
        </is>
      </c>
      <c r="G1362" s="24" t="inlineStr">
        <is>
          <t>암발파 작업시 발파 풍압이 근로자 및 인접 구조물에 미치는 영향에 대해 설명하시오</t>
        </is>
      </c>
    </row>
    <row r="1363" customFormat="1" s="1">
      <c r="A1363" s="6" t="n">
        <v>621</v>
      </c>
      <c r="B1363" s="145" t="n">
        <v>90</v>
      </c>
      <c r="C1363" s="146" t="n">
        <v>1</v>
      </c>
      <c r="D1363" s="7" t="n">
        <v>1</v>
      </c>
      <c r="E1363" s="6" t="inlineStr">
        <is>
          <t>안전관리론</t>
        </is>
      </c>
      <c r="F1363" s="8" t="inlineStr">
        <is>
          <t>안전관리조직유형</t>
        </is>
      </c>
      <c r="G1363" s="24" t="inlineStr">
        <is>
          <t>안전관리조직의 유형</t>
        </is>
      </c>
    </row>
    <row r="1364" customFormat="1" s="1">
      <c r="A1364" s="6" t="n">
        <v>622</v>
      </c>
      <c r="B1364" s="145" t="n">
        <v>90</v>
      </c>
      <c r="C1364" s="146" t="n">
        <v>1</v>
      </c>
      <c r="D1364" s="7" t="n">
        <v>2</v>
      </c>
      <c r="E1364" s="6" t="inlineStr">
        <is>
          <t>안전관리론</t>
        </is>
      </c>
      <c r="F1364" s="8" t="inlineStr">
        <is>
          <t>인터로킹</t>
        </is>
      </c>
      <c r="G1364" s="24" t="inlineStr">
        <is>
          <t>동적에너지에 의한 재해예방을 위한 인터로킹 방법</t>
        </is>
      </c>
    </row>
    <row r="1365" customFormat="1" s="1">
      <c r="A1365" s="6" t="n">
        <v>623</v>
      </c>
      <c r="B1365" s="145" t="n">
        <v>90</v>
      </c>
      <c r="C1365" s="146" t="n">
        <v>1</v>
      </c>
      <c r="D1365" s="7" t="n">
        <v>3</v>
      </c>
      <c r="E1365" s="6" t="inlineStr">
        <is>
          <t>교량</t>
        </is>
      </c>
      <c r="F1365" s="8" t="inlineStr">
        <is>
          <t>전단연결재</t>
        </is>
      </c>
      <c r="G1365" s="24" t="inlineStr">
        <is>
          <t>Shear connector(전단연결재)</t>
        </is>
      </c>
    </row>
    <row r="1366" customFormat="1" s="1">
      <c r="A1366" s="6" t="n">
        <v>624</v>
      </c>
      <c r="B1366" s="145" t="n">
        <v>90</v>
      </c>
      <c r="C1366" s="146" t="n">
        <v>1</v>
      </c>
      <c r="D1366" s="7" t="n">
        <v>4</v>
      </c>
      <c r="E1366" s="6" t="inlineStr">
        <is>
          <t>가설공사</t>
        </is>
      </c>
      <c r="F1366" s="8" t="inlineStr">
        <is>
          <t>거푸집존치기간</t>
        </is>
      </c>
      <c r="G1366" s="24" t="inlineStr">
        <is>
          <t>거푸집 존치기간</t>
        </is>
      </c>
    </row>
    <row r="1367" customFormat="1" s="1">
      <c r="A1367" s="6" t="n">
        <v>625</v>
      </c>
      <c r="B1367" s="145" t="n">
        <v>90</v>
      </c>
      <c r="C1367" s="146" t="n">
        <v>1</v>
      </c>
      <c r="D1367" s="7" t="n">
        <v>5</v>
      </c>
      <c r="E1367" s="6" t="inlineStr">
        <is>
          <t>기초</t>
        </is>
      </c>
      <c r="F1367" s="8" t="inlineStr">
        <is>
          <t>지중연속벽</t>
        </is>
      </c>
      <c r="G1367" s="24" t="inlineStr">
        <is>
          <t>Slurry Wall(지중연속벽)</t>
        </is>
      </c>
    </row>
    <row r="1368" customFormat="1" s="1">
      <c r="A1368" s="6" t="n">
        <v>626</v>
      </c>
      <c r="B1368" s="145" t="n">
        <v>90</v>
      </c>
      <c r="C1368" s="146" t="n">
        <v>1</v>
      </c>
      <c r="D1368" s="7" t="n">
        <v>6</v>
      </c>
      <c r="E1368" s="6" t="inlineStr">
        <is>
          <t>터널</t>
        </is>
      </c>
      <c r="F1368" s="8" t="inlineStr">
        <is>
          <t>터널편토압</t>
        </is>
      </c>
      <c r="G1368" s="24" t="inlineStr">
        <is>
          <t>터널에서 편토압 방지대책</t>
        </is>
      </c>
    </row>
    <row r="1369" customFormat="1" s="1">
      <c r="A1369" s="6" t="n">
        <v>627</v>
      </c>
      <c r="B1369" s="145" t="n">
        <v>90</v>
      </c>
      <c r="C1369" s="146" t="n">
        <v>1</v>
      </c>
      <c r="D1369" s="7" t="n">
        <v>7</v>
      </c>
      <c r="E1369" s="6" t="inlineStr">
        <is>
          <t>토공</t>
        </is>
      </c>
      <c r="F1369" s="8" t="inlineStr">
        <is>
          <t>지반파괴형태</t>
        </is>
      </c>
      <c r="G1369" s="24" t="inlineStr">
        <is>
          <t>지반의 파괴형태</t>
        </is>
      </c>
    </row>
    <row r="1370" customFormat="1" s="1">
      <c r="A1370" s="6" t="n">
        <v>628</v>
      </c>
      <c r="B1370" s="145" t="n">
        <v>90</v>
      </c>
      <c r="C1370" s="146" t="n">
        <v>1</v>
      </c>
      <c r="D1370" s="7" t="n">
        <v>8</v>
      </c>
      <c r="E1370" s="6" t="inlineStr">
        <is>
          <t>기초</t>
        </is>
      </c>
      <c r="F1370" s="8" t="inlineStr">
        <is>
          <t>파일두부정리</t>
        </is>
      </c>
      <c r="G1370" s="24" t="inlineStr">
        <is>
          <t>기초 콘크리트 Pile의 두부정리</t>
        </is>
      </c>
    </row>
    <row r="1371" customFormat="1" s="1">
      <c r="A1371" s="6" t="n">
        <v>629</v>
      </c>
      <c r="B1371" s="145" t="n">
        <v>90</v>
      </c>
      <c r="C1371" s="146" t="n">
        <v>1</v>
      </c>
      <c r="D1371" s="7" t="n">
        <v>9</v>
      </c>
      <c r="E1371" s="6" t="inlineStr">
        <is>
          <t>교량</t>
        </is>
      </c>
      <c r="F1371" s="8" t="inlineStr">
        <is>
          <t>Approach slab</t>
        </is>
      </c>
      <c r="G1371" s="24" t="inlineStr">
        <is>
          <t>Approach slab</t>
        </is>
      </c>
    </row>
    <row r="1372" customFormat="1" s="1">
      <c r="A1372" s="6" t="n">
        <v>630</v>
      </c>
      <c r="B1372" s="145" t="n">
        <v>90</v>
      </c>
      <c r="C1372" s="146" t="n">
        <v>1</v>
      </c>
      <c r="D1372" s="7" t="n">
        <v>10</v>
      </c>
      <c r="E1372" s="6" t="inlineStr">
        <is>
          <t>안전관리론</t>
        </is>
      </c>
      <c r="F1372" s="8" t="inlineStr">
        <is>
          <t>4M재해원인</t>
        </is>
      </c>
      <c r="G1372" s="24" t="inlineStr">
        <is>
          <t>재해의 기본원인(4M)과 재해발생 메카니즘</t>
        </is>
      </c>
    </row>
    <row r="1373" customFormat="1" s="1">
      <c r="A1373" s="6" t="n">
        <v>631</v>
      </c>
      <c r="B1373" s="145" t="n">
        <v>90</v>
      </c>
      <c r="C1373" s="146" t="n">
        <v>1</v>
      </c>
      <c r="D1373" s="7" t="n">
        <v>11</v>
      </c>
      <c r="E1373" s="6" t="inlineStr">
        <is>
          <t>기초</t>
        </is>
      </c>
      <c r="F1373" s="8" t="inlineStr">
        <is>
          <t>흙막이Arching</t>
        </is>
      </c>
      <c r="G1373" s="24" t="inlineStr">
        <is>
          <t>흙막이 벽체에서 Arching현상</t>
        </is>
      </c>
    </row>
    <row r="1374" customFormat="1" s="1">
      <c r="A1374" s="6" t="n">
        <v>632</v>
      </c>
      <c r="B1374" s="145" t="n">
        <v>90</v>
      </c>
      <c r="C1374" s="146" t="n">
        <v>1</v>
      </c>
      <c r="D1374" s="7" t="n">
        <v>12</v>
      </c>
      <c r="E1374" s="6" t="inlineStr">
        <is>
          <t>건설기계</t>
        </is>
      </c>
      <c r="F1374" s="8" t="inlineStr">
        <is>
          <t>리프트카</t>
        </is>
      </c>
      <c r="G1374" s="24" t="inlineStr">
        <is>
          <t>Lift Car</t>
        </is>
      </c>
    </row>
    <row r="1375" customFormat="1" s="1">
      <c r="A1375" s="6" t="n">
        <v>633</v>
      </c>
      <c r="B1375" s="145" t="n">
        <v>90</v>
      </c>
      <c r="C1375" s="146" t="n">
        <v>1</v>
      </c>
      <c r="D1375" s="7" t="n">
        <v>13</v>
      </c>
      <c r="E1375" s="6" t="inlineStr">
        <is>
          <t>안전관리론</t>
        </is>
      </c>
      <c r="F1375" s="8" t="inlineStr">
        <is>
          <t>재해비용_천재인재</t>
        </is>
      </c>
      <c r="G1375" s="24" t="inlineStr">
        <is>
          <t>재해비용 산정시 천재와 인재구분</t>
        </is>
      </c>
    </row>
    <row r="1376" customFormat="1" s="1">
      <c r="A1376" s="6" t="n">
        <v>634</v>
      </c>
      <c r="B1376" s="145" t="n">
        <v>90</v>
      </c>
      <c r="C1376" s="146" t="n">
        <v>2</v>
      </c>
      <c r="D1376" s="7" t="n">
        <v>1</v>
      </c>
      <c r="E1376" s="6" t="inlineStr">
        <is>
          <t>안전관리론</t>
        </is>
      </c>
      <c r="F1376" s="8" t="inlineStr">
        <is>
          <t>중소규모건설현장_재해특성</t>
        </is>
      </c>
      <c r="G1376" s="24" t="inlineStr">
        <is>
          <t>중소규모 건설현장의 재해특성 및 안전관리 방향에 관하여 설명하시오</t>
        </is>
      </c>
    </row>
    <row r="1377" customFormat="1" s="1">
      <c r="A1377" s="6" t="n">
        <v>635</v>
      </c>
      <c r="B1377" s="145" t="n">
        <v>90</v>
      </c>
      <c r="C1377" s="146" t="n">
        <v>2</v>
      </c>
      <c r="D1377" s="7" t="n">
        <v>2</v>
      </c>
      <c r="E1377" s="6" t="inlineStr">
        <is>
          <t>시설물안전법</t>
        </is>
      </c>
      <c r="F1377" s="8" t="inlineStr">
        <is>
          <t>시설물정보관리시스템</t>
        </is>
      </c>
      <c r="G1377" s="24" t="inlineStr">
        <is>
          <t>시설물의 안전과 유지관리를 통하여 재해와 재난을 예방하고 시설물의 효용을 증진시키기 위한 시설물정보관리종합시스템에 대하여 설명하시오</t>
        </is>
      </c>
    </row>
    <row r="1378" customFormat="1" s="1">
      <c r="A1378" s="6" t="n">
        <v>636</v>
      </c>
      <c r="B1378" s="145" t="n">
        <v>90</v>
      </c>
      <c r="C1378" s="146" t="n">
        <v>2</v>
      </c>
      <c r="D1378" s="7" t="n">
        <v>3</v>
      </c>
      <c r="E1378" s="6" t="inlineStr">
        <is>
          <t>건진법</t>
        </is>
      </c>
      <c r="F1378" s="8" t="inlineStr">
        <is>
          <t>안전관리공정표</t>
        </is>
      </c>
      <c r="G1378" s="24" t="inlineStr">
        <is>
          <t>건설안전관리계획서 작성지침에 있는 안전관리 공정표 작성방법 및 활용에 따른 안전사고 예방대책을 설명하시오</t>
        </is>
      </c>
    </row>
    <row r="1379" customFormat="1" s="1">
      <c r="A1379" s="6" t="n">
        <v>637</v>
      </c>
      <c r="B1379" s="145" t="n">
        <v>90</v>
      </c>
      <c r="C1379" s="146" t="n">
        <v>2</v>
      </c>
      <c r="D1379" s="7" t="n">
        <v>4</v>
      </c>
      <c r="E1379" s="6" t="inlineStr">
        <is>
          <t>재해유형</t>
        </is>
      </c>
      <c r="F1379" s="8" t="inlineStr">
        <is>
          <t>화재_구조물진단</t>
        </is>
      </c>
      <c r="G1379" s="24" t="inlineStr">
        <is>
          <t>화재에 대한 구조물의 진단방법, 유지관리 및 방지대책에 관하여 설명하시오.</t>
        </is>
      </c>
    </row>
    <row r="1380" customFormat="1" s="1">
      <c r="A1380" s="6" t="n">
        <v>638</v>
      </c>
      <c r="B1380" s="145" t="n">
        <v>90</v>
      </c>
      <c r="C1380" s="146" t="n">
        <v>2</v>
      </c>
      <c r="D1380" s="7" t="n">
        <v>5</v>
      </c>
      <c r="E1380" s="6" t="inlineStr">
        <is>
          <t>산안법</t>
        </is>
      </c>
      <c r="F1380" s="8" t="inlineStr">
        <is>
          <t>자율안전관리업체</t>
        </is>
      </c>
      <c r="G1380" s="24" t="inlineStr">
        <is>
          <t>건설공사에서 자율안전관리업체 지정방법 및 심사절차와 정부차원에서 추진 중인 건설공사 자율안전점검제도를 설명하시오.</t>
        </is>
      </c>
    </row>
    <row r="1381" customFormat="1" s="1">
      <c r="A1381" s="6" t="n">
        <v>639</v>
      </c>
      <c r="B1381" s="145" t="n">
        <v>90</v>
      </c>
      <c r="C1381" s="146" t="n">
        <v>2</v>
      </c>
      <c r="D1381" s="7" t="n">
        <v>6</v>
      </c>
      <c r="E1381" s="6" t="inlineStr">
        <is>
          <t>가설공사</t>
        </is>
      </c>
      <c r="F1381" s="8" t="inlineStr">
        <is>
          <t>거푸집동바리_안전사항</t>
        </is>
      </c>
      <c r="G1381" s="24" t="inlineStr">
        <is>
          <t>철근콘크리트공사와 거푸집과 동바리 시공에 있어서 작업상 안전에 관하여 지켜야할 사항을 설명하시오.(단, 콘크리트공사 표준안전작업지침 기준으로 한다.)</t>
        </is>
      </c>
    </row>
    <row r="1382" customFormat="1" s="1">
      <c r="A1382" s="6" t="n">
        <v>640</v>
      </c>
      <c r="B1382" s="145" t="n">
        <v>90</v>
      </c>
      <c r="C1382" s="146" t="n">
        <v>3</v>
      </c>
      <c r="D1382" s="7" t="n">
        <v>1</v>
      </c>
      <c r="E1382" s="6" t="inlineStr">
        <is>
          <t>해체공사</t>
        </is>
      </c>
      <c r="F1382" s="8" t="inlineStr">
        <is>
          <t>노후건축물_철거프로세스</t>
        </is>
      </c>
      <c r="G1382" s="24" t="inlineStr">
        <is>
          <t>노후건축물 철거공사를 시행함에 있어 안전하게 철거할 수 있는 행정절차와 철거 프로세스에 대하여 설명하시오.</t>
        </is>
      </c>
    </row>
    <row r="1383" customFormat="1" s="1">
      <c r="A1383" s="6" t="n">
        <v>641</v>
      </c>
      <c r="B1383" s="145" t="n">
        <v>90</v>
      </c>
      <c r="C1383" s="146" t="n">
        <v>3</v>
      </c>
      <c r="D1383" s="7" t="n">
        <v>2</v>
      </c>
      <c r="E1383" s="6" t="inlineStr">
        <is>
          <t>토공</t>
        </is>
      </c>
      <c r="F1383" s="8" t="inlineStr">
        <is>
          <t>연약지반_개량공법</t>
        </is>
      </c>
      <c r="G1383" s="24" t="inlineStr">
        <is>
          <t>연약지반 위에 소규모 구조물을 구축하려 한다. 연약지반에 대한 일시적 개량공법 및 안전대책에 관하여 설명하시오</t>
        </is>
      </c>
    </row>
    <row r="1384" customFormat="1" s="1">
      <c r="A1384" s="6" t="n">
        <v>642</v>
      </c>
      <c r="B1384" s="145" t="n">
        <v>90</v>
      </c>
      <c r="C1384" s="146" t="n">
        <v>3</v>
      </c>
      <c r="D1384" s="7" t="n">
        <v>3</v>
      </c>
      <c r="E1384" s="6" t="inlineStr">
        <is>
          <t>터널</t>
        </is>
      </c>
      <c r="F1384" s="8" t="inlineStr">
        <is>
          <t>터널작업환경_위생관리</t>
        </is>
      </c>
      <c r="G1384" s="24" t="inlineStr">
        <is>
          <t>터널공사에서 터널 내 작업환경을 개선하기 위한 위생관리 및 안전대책을 설명하시오</t>
        </is>
      </c>
    </row>
    <row r="1385" customFormat="1" s="1">
      <c r="A1385" s="6" t="n">
        <v>643</v>
      </c>
      <c r="B1385" s="145" t="n">
        <v>90</v>
      </c>
      <c r="C1385" s="146" t="n">
        <v>3</v>
      </c>
      <c r="D1385" s="7" t="n">
        <v>4</v>
      </c>
      <c r="E1385" s="6" t="inlineStr">
        <is>
          <t>건축</t>
        </is>
      </c>
      <c r="F1385" s="8" t="inlineStr">
        <is>
          <t>지하방수공법</t>
        </is>
      </c>
      <c r="G1385" s="24" t="inlineStr">
        <is>
          <t>건축물 규모의 대형화에 따라 지하층 규모가 증가할수록 지하수위를 고려한 적합한 방수공법이 필요하다. 지하방수공법의 선정시 중요사항, 방수공법의 종류, 방수시공시 고려사항 및 안전관리방안에 대하여 설명하시오</t>
        </is>
      </c>
    </row>
    <row r="1386" customFormat="1" s="1">
      <c r="A1386" s="6" t="n">
        <v>644</v>
      </c>
      <c r="B1386" s="145" t="n">
        <v>90</v>
      </c>
      <c r="C1386" s="146" t="n">
        <v>3</v>
      </c>
      <c r="D1386" s="7" t="n">
        <v>5</v>
      </c>
      <c r="E1386" s="6" t="inlineStr">
        <is>
          <t>토공</t>
        </is>
      </c>
      <c r="F1386" s="8" t="inlineStr">
        <is>
          <t>사면붕괴_절편법</t>
        </is>
      </c>
      <c r="G1386" s="24" t="inlineStr">
        <is>
          <t>대규모 사면굴착공사에서 발생하기 쉬운 비탈면의 붕괴에 대한 사면의 붕괴원인, 안전대책 및 사면의 절편법에 의한 유한사면의 안정계산법에 대하여 설명하시오</t>
        </is>
      </c>
    </row>
    <row r="1387" customFormat="1" s="1">
      <c r="A1387" s="6" t="n">
        <v>645</v>
      </c>
      <c r="B1387" s="145" t="n">
        <v>90</v>
      </c>
      <c r="C1387" s="146" t="n">
        <v>3</v>
      </c>
      <c r="D1387" s="7" t="n">
        <v>6</v>
      </c>
      <c r="E1387" s="6" t="inlineStr">
        <is>
          <t>가설공사</t>
        </is>
      </c>
      <c r="F1387" s="8" t="inlineStr">
        <is>
          <t>시스템동바리_붕괴방지</t>
        </is>
      </c>
      <c r="G1387" s="24" t="inlineStr">
        <is>
          <t>System 동바리의 구조적인 개념과 붕괴원인 및 붕괴방지 대책에 대하여 설명하시오</t>
        </is>
      </c>
    </row>
    <row r="1388" customFormat="1" s="1">
      <c r="A1388" s="6" t="n">
        <v>646</v>
      </c>
      <c r="B1388" s="145" t="n">
        <v>90</v>
      </c>
      <c r="C1388" s="146" t="n">
        <v>4</v>
      </c>
      <c r="D1388" s="7" t="n">
        <v>1</v>
      </c>
      <c r="E1388" s="6" t="inlineStr">
        <is>
          <t>계절재해</t>
        </is>
      </c>
      <c r="F1388" s="8" t="inlineStr">
        <is>
          <t>여름철_콘크리트타설</t>
        </is>
      </c>
      <c r="G1388" s="24" t="inlineStr">
        <is>
          <t>여름철에 콘크리트 타설시 안전대책에 관하여 설명하시오</t>
        </is>
      </c>
    </row>
    <row r="1389" customFormat="1" s="1">
      <c r="A1389" s="6" t="n">
        <v>647</v>
      </c>
      <c r="B1389" s="145" t="n">
        <v>90</v>
      </c>
      <c r="C1389" s="146" t="n">
        <v>4</v>
      </c>
      <c r="D1389" s="7" t="n">
        <v>2</v>
      </c>
      <c r="E1389" s="6" t="inlineStr">
        <is>
          <t>시사 이슈 문제</t>
        </is>
      </c>
      <c r="F1389" s="8" t="inlineStr">
        <is>
          <t>BIM_건설안전영향</t>
        </is>
      </c>
      <c r="G1389" s="24" t="inlineStr">
        <is>
          <t>최근 BIM(Building Information Modeling)설계기법이 도입되면서 설계기술과 시공기술의 발전을 가져올 것으로 예상되는데 BIM설계기법이 건설안전기술에 미치는 영향에 대하여 설명하시오</t>
        </is>
      </c>
    </row>
    <row r="1390" customFormat="1" s="1">
      <c r="A1390" s="6" t="n">
        <v>648</v>
      </c>
      <c r="B1390" s="145" t="n">
        <v>90</v>
      </c>
      <c r="C1390" s="146" t="n">
        <v>4</v>
      </c>
      <c r="D1390" s="7" t="n">
        <v>3</v>
      </c>
      <c r="E1390" s="6" t="inlineStr">
        <is>
          <t>건설기계</t>
        </is>
      </c>
      <c r="F1390" s="8" t="inlineStr">
        <is>
          <t>이동식크레인_종류재해</t>
        </is>
      </c>
      <c r="G1390" s="24" t="inlineStr">
        <is>
          <t>건설현장에서 사용되는 이동식 크레인의 종류와 재해유형 및 안전대책을 설명하시오</t>
        </is>
      </c>
    </row>
    <row r="1391" customFormat="1" s="1">
      <c r="A1391" s="6" t="n">
        <v>649</v>
      </c>
      <c r="B1391" s="145" t="n">
        <v>90</v>
      </c>
      <c r="C1391" s="146" t="n">
        <v>4</v>
      </c>
      <c r="D1391" s="7" t="n">
        <v>4</v>
      </c>
      <c r="E1391" s="6" t="inlineStr">
        <is>
          <t>철골</t>
        </is>
      </c>
      <c r="F1391" s="8" t="inlineStr">
        <is>
          <t>철골작업_추락방지</t>
        </is>
      </c>
      <c r="G1391" s="24" t="inlineStr">
        <is>
          <t>건설현장의 철골작업시 추락방지설비의 문제점 및 개선방안에 관하여 설명하시오</t>
        </is>
      </c>
    </row>
    <row r="1392" customFormat="1" s="1">
      <c r="A1392" s="6" t="n">
        <v>650</v>
      </c>
      <c r="B1392" s="145" t="n">
        <v>90</v>
      </c>
      <c r="C1392" s="146" t="n">
        <v>4</v>
      </c>
      <c r="D1392" s="7" t="n">
        <v>5</v>
      </c>
      <c r="E1392" s="6" t="inlineStr">
        <is>
          <t>기초</t>
        </is>
      </c>
      <c r="F1392" s="8" t="inlineStr">
        <is>
          <t>흙막이공법_안전관리</t>
        </is>
      </c>
      <c r="G1392" s="24" t="inlineStr">
        <is>
          <t>지하흙막이 공사는 공법 선정에서부터 시공 완료 과정에 이르기까지 안전관리에 중점을 두어야 할 사항이 많은 공정이다. 흙막이 공법선정 및 시공시 중점 안전관리사항과 품질관리 사항에 대하여 설명하시오</t>
        </is>
      </c>
    </row>
    <row r="1393" customFormat="1" s="1">
      <c r="A1393" s="6" t="n">
        <v>651</v>
      </c>
      <c r="B1393" s="145" t="n">
        <v>90</v>
      </c>
      <c r="C1393" s="146" t="n">
        <v>4</v>
      </c>
      <c r="D1393" s="7" t="n">
        <v>6</v>
      </c>
      <c r="E1393" s="6" t="inlineStr">
        <is>
          <t>터널</t>
        </is>
      </c>
      <c r="F1393" s="8" t="inlineStr">
        <is>
          <t>철도터널_근접시공</t>
        </is>
      </c>
      <c r="G1393" s="24" t="inlineStr">
        <is>
          <t>운행중인 철도터널과 인접된 지하구조물을 설치하고자 한다. 근접시공에 따른 안전영역평가와 시공 중 보강대책을 설명하시오 .</t>
        </is>
      </c>
    </row>
  </sheetData>
  <autoFilter ref="A1:G1024">
    <sortState ref="A2:G1393">
      <sortCondition descending="1" ref="B1:B1024"/>
    </sortState>
  </autoFilter>
  <dataValidations disablePrompts="1" count="6">
    <dataValidation sqref="E326 E356:E438 E440:E463 E465:E559 E677 E688" showDropDown="0" showInputMessage="1" showErrorMessage="1" allowBlank="1" type="list">
      <formula1>#REF!</formula1>
    </dataValidation>
    <dataValidation sqref="B746:B1055" showDropDown="0" showInputMessage="1" showErrorMessage="1" allowBlank="1" error="1~210 사이 정수를 입력하세요." type="whole">
      <formula1>1</formula1>
      <formula2>300</formula2>
    </dataValidation>
    <dataValidation sqref="C746:C1055" showDropDown="0" showInputMessage="1" showErrorMessage="1" allowBlank="1" error="1~4 사이 정수를 입력하세요." type="whole">
      <formula1>1</formula1>
      <formula2>4</formula2>
    </dataValidation>
    <dataValidation sqref="D746:D1055" showDropDown="0" showInputMessage="1" showErrorMessage="1" allowBlank="1" error="1~13사이 정수를 입력하세요." type="whole">
      <formula1>1</formula1>
      <formula2>13</formula2>
    </dataValidation>
    <dataValidation sqref="E188:E200 E219:E275 E277:E325 E327:E329" showDropDown="0" showInputMessage="1" showErrorMessage="1" allowBlank="1" type="list">
      <formula1>$N$349:$N$371</formula1>
    </dataValidation>
    <dataValidation sqref="E2:E94 E102:E103 E126:E187 E201:E218 E276 E330:E342" showDropDown="0" showInputMessage="1" showErrorMessage="1" allowBlank="1" type="list">
      <formula1>$N$349:$N$372</formula1>
    </dataValidation>
  </dataValidation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seunghoon Lee</dc:creator>
  <dcterms:created xsi:type="dcterms:W3CDTF">2021-08-24T11:16:14Z</dcterms:created>
  <dcterms:modified xsi:type="dcterms:W3CDTF">2026-04-15T04:15:10Z</dcterms:modified>
  <cp:lastModifiedBy>KECC</cp:lastModifiedBy>
  <cp:lastPrinted>2025-05-19T00:53:35Z</cp:lastPrinted>
</cp:coreProperties>
</file>